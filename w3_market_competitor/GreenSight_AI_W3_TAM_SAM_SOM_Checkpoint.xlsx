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790"/>
  </bookViews>
  <sheets>
    <sheet name="0_Definitions" sheetId="1" r:id="rId1"/>
    <sheet name="1_Assumptions" sheetId="2" r:id="rId2"/>
    <sheet name="2_TAM_SAM_SOM_Chain" sheetId="3" r:id="rId3"/>
    <sheet name="3_SOM_Sensitivity" sheetId="4" r:id="rId4"/>
    <sheet name="4_BottomUp_Check" sheetId="5" r:id="rId5"/>
    <sheet name="5_Sources" sheetId="6" r:id="rId6"/>
    <sheet name="6_A1_Slide_Snippets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<sst xmlns="http://schemas.openxmlformats.org/spreadsheetml/2006/main" count="480" uniqueCount="398">
  <si>
    <t>Green Sight AI — TAM / SAM / SOM Market Sizing Workbook</t>
  </si>
  <si>
    <t>Field</t>
  </si>
  <si>
    <t>Content</t>
  </si>
  <si>
    <t>Course</t>
  </si>
  <si>
    <t>ENT303TC Team Technopreneurship | S1 W3 Market &amp; Competitor Analysis</t>
  </si>
  <si>
    <t>Venture</t>
  </si>
  <si>
    <t>Green Sight AI - continuing prototype; no paid revenue and no observed paid conversion rate.</t>
  </si>
  <si>
    <t>Date</t>
  </si>
  <si>
    <t>2026-09-23</t>
  </si>
  <si>
    <t>Version</t>
  </si>
  <si>
    <t>v4 - user-supplied evidence; sourced assumptions and validation plan</t>
  </si>
  <si>
    <t>Unit</t>
  </si>
  <si>
    <t>All money figures in CNY unless labelled USD</t>
  </si>
  <si>
    <t>Method</t>
  </si>
  <si>
    <t>Top-down chain TAM → SAM → SOM with visible Excel formulas; bottom-up sanity check; 1%/2%/3% SOM sensitivity</t>
  </si>
  <si>
    <t>Product definition for sizing</t>
  </si>
  <si>
    <t>Busy urban indoor-pot users: students and young office workers in dorms, apartments and at office desks. Multi-sensor monitoring + App + basic automatic intervention; mostly single-threshold control. Prototype, not mature AI. Greenhouses, vertical farms and closed consumable grower ecosystems are outside the primary scope.</t>
  </si>
  <si>
    <t>TAM definition</t>
  </si>
  <si>
    <t>China smart-planter market, including indoor and outdoor uses; proxy for adjacent plant-care hardware, not a direct measurement of retrofit care devices. 2024 market baseline.</t>
  </si>
  <si>
    <t>SAM definition</t>
  </si>
  <si>
    <t>Share of TAM matching our ICP (busy students / young professionals with dorm/apartment/office desk pots) AND reachable via Year-1 GTM channels (campus pilots + Xiaohongshu/Taobao e-commerce in campus cities).</t>
  </si>
  <si>
    <t>SOM definition</t>
  </si>
  <si>
    <t>Year-1 SOM approx. CNY323,000 / approx. 809 units at a CNY399 reference ASP is a planning scenario, NOT realised sales. The price is a competitor-band reference, not our confirmed selling price. Uses a 2024 market baseline; reach and capture assumptions remain UNVERIFIED.</t>
  </si>
  <si>
    <t>Colour key</t>
  </si>
  <si>
    <t>Yellow = editable inputs; green = executable calculation cells; grey = formula text for reference (not executable). Formula text must be updated if the calculation formula changes.</t>
  </si>
  <si>
    <t>Checkpoint tip</t>
  </si>
  <si>
    <t>Supervisor will recalculate one figure live — keep Assumptions sheet open and leave formulas intact.</t>
  </si>
  <si>
    <t>Honesty rule</t>
  </si>
  <si>
    <t>External claims use only sources provided by the user. This revision performs no new web verification. All future operating estimates are Assumption / UNVERIFIED; no interviews, sales, conversion records or partnerships are claimed.</t>
  </si>
  <si>
    <t>ID</t>
  </si>
  <si>
    <t>Parameter</t>
  </si>
  <si>
    <t>Value</t>
  </si>
  <si>
    <t>Role</t>
  </si>
  <si>
    <t>Source / rationale</t>
  </si>
  <si>
    <t>URL</t>
  </si>
  <si>
    <t>Confidence</t>
  </si>
  <si>
    <t>How to validate / 验证方法</t>
  </si>
  <si>
    <t>A01</t>
  </si>
  <si>
    <t>China Smart Planters market size in 2030 (forecast)</t>
  </si>
  <si>
    <t>USD million</t>
  </si>
  <si>
    <t>TAM input</t>
  </si>
  <si>
    <t>User-supplied external evidence: GIA/GII China 2030 forecast US$87.1M. Public abstract only; smart-planter category proxy.</t>
  </si>
  <si>
    <t>https://www.giiresearch.com/report/go1739256-smart-planters.html</t>
  </si>
  <si>
    <t>Medium (paid report abstract publicly cited)</t>
  </si>
  <si>
    <t>Confirm source scope and retain abstract/report citation; replace proxy if directly comparable retrofit-device data is provided.</t>
  </si>
  <si>
    <t>A02</t>
  </si>
  <si>
    <t>CAGR China Smart Planters 2024-2030</t>
  </si>
  <si>
    <t>decimal</t>
  </si>
  <si>
    <t>User-supplied external evidence: China 2024-2030 CAGR 5.3%. Forecast assumption from source, not realised growth.</t>
  </si>
  <si>
    <t>Medium</t>
  </si>
  <si>
    <t>Retain forecast period; do not present CAGR as measured Green Sight growth.</t>
  </si>
  <si>
    <t>A03</t>
  </si>
  <si>
    <t>Years from 2024 to 2030</t>
  </si>
  <si>
    <t>years</t>
  </si>
  <si>
    <t>Arithmetic: 2030-2024=6. Used to back-calculate 2024 from 2030 forecast.</t>
  </si>
  <si>
    <t>Derived</t>
  </si>
  <si>
    <t>High</t>
  </si>
  <si>
    <t>Arithmetic check: 2030 - 2024 = 6.</t>
  </si>
  <si>
    <t>A04</t>
  </si>
  <si>
    <t>FX USD to CNY (workbook assumption)</t>
  </si>
  <si>
    <t>CNY per USD</t>
  </si>
  <si>
    <t>Assumption / UNVERIFIED: 7.2 CNY per USD used as a classroom conversion convention, not a current FX quote.</t>
  </si>
  <si>
    <t>Team assumption — label UNVERIFIED for live FX</t>
  </si>
  <si>
    <t>Assumption / UNVERIFIED</t>
  </si>
  <si>
    <t>Replace with a dated, approved FX source when supplied; test 7.0-7.3 as assumptions.</t>
  </si>
  <si>
    <t>A05</t>
  </si>
  <si>
    <t>Share of smart-planter spend that is indoor / residential-like</t>
  </si>
  <si>
    <t>SAM input</t>
  </si>
  <si>
    <t>Assumption / UNVERIFIED: 65% indoor share used as a provisional scenario because our use cases are indoor. Source segment labels establish categories, not this percentage.</t>
  </si>
  <si>
    <t>https://www.giiresearch.com/report/go1739256-smart-planters.html (segment exists; % UNVERIFIED)</t>
  </si>
  <si>
    <t>Obtain China indoor/outdoor device revenue split, or a defined device-buyer sample with spending weights.</t>
  </si>
  <si>
    <t>A06</t>
  </si>
  <si>
    <t>ICP share of indoor smart-planter spending</t>
  </si>
  <si>
    <t>Assumption / UNVERIFIED: 45% of indoor device spend assigned to student/young-worker desk-pot use. JD buyer descriptions support ICP direction only, not this share.</t>
  </si>
  <si>
    <t>http://www.xfrb.com.cn/article/council/16452445152521.html (ICP context only; 45% is not sourced)</t>
  </si>
  <si>
    <t>Survey smart-care device buyers: age, desk-pot use and annual spending; report sample size and selection bias.</t>
  </si>
  <si>
    <t>A07</t>
  </si>
  <si>
    <t>Reachable share of ICP smart-planter spending</t>
  </si>
  <si>
    <t>Assumption / UNVERIFIED: 12% of ICP spending provisionally reachable through campus pilots, Xiaohongshu and Taobao/JD in selected campus cities. National offline flower retail is excluded. No channel access or exposure is claimed as achieved.</t>
  </si>
  <si>
    <t>Planning assumption; named channels are a route hypothesis, not verified coverage.</t>
  </si>
  <si>
    <t>Name pilot campuses/cities and channels; record unique eligible reach and spending potential; deduplicate across channels.</t>
  </si>
  <si>
    <t>A08</t>
  </si>
  <si>
    <t>Year-1 revenue capture share of reachable market</t>
  </si>
  <si>
    <t>SOM input</t>
  </si>
  <si>
    <t>Assumption / UNVERIFIED: 2% baseline, tested at 1% and 3%. Prototype maturity, low-priced irrigators/self-watering pots and a more productised Yimitian support cautious planning, but do not establish the numerical rate. Revenue capture share is not customer conversion.</t>
  </si>
  <si>
    <t>User-supplied competitor references: 5_Sources rows 9-11. Qualitative rationale only.</t>
  </si>
  <si>
    <t>Run a consented paid pilot; record eligible leads, orders, price, refunds and delivery limits; infer revenue/SAM.</t>
  </si>
  <si>
    <t>A09</t>
  </si>
  <si>
    <t>Reference ASP - low end of Yimitian-like comparison band</t>
  </si>
  <si>
    <t>CNY / unit</t>
  </si>
  <si>
    <t>Display only</t>
  </si>
  <si>
    <t>User-supplied third-party reference band CNY399-499; use 399 solely to translate revenue to illustrative units. Channel-dependent, not an official verified current quote or Green Sight price.</t>
  </si>
  <si>
    <t>http://www.ymitian.cn/chanpin4/91.html</t>
  </si>
  <si>
    <t>Medium / price caution</t>
  </si>
  <si>
    <t>Collect dated seller quotes for comparable functions; validate our price separately with willingness-to-pay and costs.</t>
  </si>
  <si>
    <t>A10</t>
  </si>
  <si>
    <t>CONTEXT ONLY — China indoor foliage plant market 2024</t>
  </si>
  <si>
    <t>CNY 100 million (亿元)</t>
  </si>
  <si>
    <t>Context (NOT used in TAM formula)</t>
  </si>
  <si>
    <t>China Flower Association / national forestry portal summary: foliage plant market ~¥13.5B in 2024; tropical/specialty ~30%.</t>
  </si>
  <si>
    <t>https://www.forestry.gov.cn/lyj/1/gghhmmcy/20250328/617790.html</t>
  </si>
  <si>
    <t>High (association-linked)</t>
  </si>
  <si>
    <t>Context only; not linked to device TAM.</t>
  </si>
  <si>
    <t>A11</t>
  </si>
  <si>
    <t>CONTEXT ONLY — China flower retail market 2024</t>
  </si>
  <si>
    <t>Context</t>
  </si>
  <si>
    <t>China Flower Association retail branch: national flower retail ~¥220B in 2024; e-commerce ~¥120B (54.5%).</t>
  </si>
  <si>
    <t>https://www.chinahhxh.com/hhxh/magazineNewsDetail.html?contentId=1234&amp;id=73&amp;subCategoryId=15</t>
  </si>
  <si>
    <t>Context only; online flower sales do not prove our reach.</t>
  </si>
  <si>
    <t>A12</t>
  </si>
  <si>
    <t>CONTEXT — China indoor plants market 2024 (Beizhes via Gelonghui)</t>
  </si>
  <si>
    <t>Context / alternate ceiling</t>
  </si>
  <si>
    <t>Beizhes Consulting cited on Gelonghui: China indoor plants market ¥22.223B in 2024. Broader than foliage-only; NOT our device TAM.</t>
  </si>
  <si>
    <t>https://www.gelonghui.com/p/2427468</t>
  </si>
  <si>
    <t>Medium (secondary cite of paid research)</t>
  </si>
  <si>
    <t>Secondary citation; broader plant category, not device TAM.</t>
  </si>
  <si>
    <t>B01</t>
  </si>
  <si>
    <t>Bottom-up: China ordinary+vocational HE students 2024</t>
  </si>
  <si>
    <t>10,000 persons (万人)</t>
  </si>
  <si>
    <t>Bottom-up</t>
  </si>
  <si>
    <t>MOE: ordinary &amp; vocational undergraduate/college students 38.9126 million in 2024.</t>
  </si>
  <si>
    <t>http://www.moe.gov.cn/jyb_sjzl/sjzl_fztjgb/202506/t20250611_1193760.html</t>
  </si>
  <si>
    <t>Retain MOE year and student definition; do not infer young-worker counts.</t>
  </si>
  <si>
    <t>B02</t>
  </si>
  <si>
    <t>Bottom-up: share of students who keep desk/dorm pot plants</t>
  </si>
  <si>
    <t>Assumption / UNVERIFIED: 20% of students own desk/dorm pot plants. User-supplied Fudan 50.29% green-home preference among 18-35 respondents is context only; preference is not ownership. 20% is not derived from that survey.</t>
  </si>
  <si>
    <t>https://fddi.fudan.edu.cn/54/c7/c19047a742599/page.htm (preference only)</t>
  </si>
  <si>
    <t>Ask a defined campus sample whether they currently own a live pot plant; record numerator and denominator.</t>
  </si>
  <si>
    <t>B03</t>
  </si>
  <si>
    <t>Bottom-up: share of plant-owning students willing to buy smart care device in 12 months</t>
  </si>
  <si>
    <t>Assumption / UNVERIFIED: 8% of student plant owners would consider a smart-care purchase in 12 months. Low-cost substitutes motivate cautious planning, but no measured willingness-to-pay evidence exists.</t>
  </si>
  <si>
    <t>Team assumption from competitor substitution logic</t>
  </si>
  <si>
    <t>Test stated WTP separately from actual paid conversion; show intended price and features.</t>
  </si>
  <si>
    <t>B04</t>
  </si>
  <si>
    <t>Bottom-up: Year-1 reachable students via campus+content channels</t>
  </si>
  <si>
    <t>persons</t>
  </si>
  <si>
    <t>Bottom-up SOM</t>
  </si>
  <si>
    <t>Assumption / UNVERIFIED: 80,000 unique students reached in 12 months, represented as 8 hypothetical campus/city clusters x 10,000. Neither access nor exposures are confirmed; count deduplicated people, not impressions.</t>
  </si>
  <si>
    <t>Team channel capacity — UNVERIFIED</t>
  </si>
  <si>
    <t>List campuses and access plans, then record unique reach; revise 8 x 10,000 if delivery access is not secured.</t>
  </si>
  <si>
    <t>B05</t>
  </si>
  <si>
    <t>Bottom-up: Year-1 capture among reachable plant owners</t>
  </si>
  <si>
    <t>Assumption / UNVERIFIED: 1.5% of reachable student plant owners become paid buyers, one unit each. No observed conversion history. This direct conversion already includes willingness to buy; do not also multiply by 8%.</t>
  </si>
  <si>
    <t>Team assumption; paid pilot / comparable conversion evidence required</t>
  </si>
  <si>
    <t>Observe paid units / unique reachable plant owners over a stated period; one-unit-per-buyer assumption.</t>
  </si>
  <si>
    <t>Optional validation</t>
  </si>
  <si>
    <t>Named campuses / cities</t>
  </si>
  <si>
    <t>Unique people reached</t>
  </si>
  <si>
    <t>Eligible ICP share</t>
  </si>
  <si>
    <t>Paid conversion per eligible person</t>
  </si>
  <si>
    <t>Expected paid units</t>
  </si>
  <si>
    <t>Evidence / dates / deduplication</t>
  </si>
  <si>
    <t>Owner / due</t>
  </si>
  <si>
    <t>Campus pilots</t>
  </si>
  <si>
    <t>Unique audience after cross-channel deduplication; eligible = target plant owners. Conversion denominator is eligible people; assume one device per paid buyer. Record source and dates.</t>
  </si>
  <si>
    <t>Xiaohongshu</t>
  </si>
  <si>
    <t>Taobao / JD</t>
  </si>
  <si>
    <t>Additional channel</t>
  </si>
  <si>
    <t>Total forecast</t>
  </si>
  <si>
    <t>Optional future validation block: blank inputs are intentional, not actual operating data. Main TAM/SAM/SOM scenario remains complete.</t>
  </si>
  <si>
    <t>Delivery check</t>
  </si>
  <si>
    <t>Input / meaning</t>
  </si>
  <si>
    <t>Evidence required</t>
  </si>
  <si>
    <t>Source / status</t>
  </si>
  <si>
    <t>P01</t>
  </si>
  <si>
    <t>Units that can be built and delivered in first 12 months</t>
  </si>
  <si>
    <t>units</t>
  </si>
  <si>
    <t>Capacity</t>
  </si>
  <si>
    <t>Supplier quote, lead times, testing and team capacity.</t>
  </si>
  <si>
    <t>P02</t>
  </si>
  <si>
    <t>Proposed net realised selling price</t>
  </si>
  <si>
    <t>Price</t>
  </si>
  <si>
    <t>Customer willingness-to-pay and discount/refund assumptions.</t>
  </si>
  <si>
    <t>P03</t>
  </si>
  <si>
    <t>Capacity-limited forecast units</t>
  </si>
  <si>
    <t>Calculation</t>
  </si>
  <si>
    <t>Minimum of channel demand and delivery capacity.</t>
  </si>
  <si>
    <t>P04</t>
  </si>
  <si>
    <t>Capacity-limited forecast revenue</t>
  </si>
  <si>
    <t>CNY / 12 months</t>
  </si>
  <si>
    <t>Forecast units x proposed net price; replaces neither scenario until supported.</t>
  </si>
  <si>
    <t>MARKET SCENARIO - 2024 baseline; first-12-month capture assumptions unvalidated</t>
  </si>
  <si>
    <t>Layer</t>
  </si>
  <si>
    <t>Calculation (plain English)</t>
  </si>
  <si>
    <t>Formula text (update if formula edited)</t>
  </si>
  <si>
    <t>Result</t>
  </si>
  <si>
    <t>Source IDs used</t>
  </si>
  <si>
    <t>Notes for supervisor challenge</t>
  </si>
  <si>
    <t>TAM (step 1)</t>
  </si>
  <si>
    <t>Back-calculate China Smart Planters 2024 USD from 2030 forecast using CAGR</t>
  </si>
  <si>
    <t>='1_Assumptions'!C2/((1+'1_Assumptions'!C3)^'1_Assumptions'!C4)</t>
  </si>
  <si>
    <t>A01, A02, A03</t>
  </si>
  <si>
    <t>Derived 2024 baseline, not an observed 2026 value. GII public abstract checked 2026-09-23.</t>
  </si>
  <si>
    <t>TAM (step 2)</t>
  </si>
  <si>
    <t>Convert TAM USD → CNY</t>
  </si>
  <si>
    <t>=D4*'1_Assumptions'!C5</t>
  </si>
  <si>
    <t>CNY million</t>
  </si>
  <si>
    <t>FX is a yellow assumption. Also show ¥亿元 below.</t>
  </si>
  <si>
    <t>TAM (display)</t>
  </si>
  <si>
    <t>TAM in 亿元 for slide friendliness</t>
  </si>
  <si>
    <t>=D5/100</t>
  </si>
  <si>
    <t>CNY 亿元</t>
  </si>
  <si>
    <t>—</t>
  </si>
  <si>
    <t>This is DEVICE market proxy, NOT the ¥135亿 foliage plant market.</t>
  </si>
  <si>
    <t>SAM</t>
  </si>
  <si>
    <t>TAM × indoor share × ICP fit × Year-1 channel reach</t>
  </si>
  <si>
    <t>=D5*'1_Assumptions'!C6*'1_Assumptions'!C7*'1_Assumptions'!C8</t>
  </si>
  <si>
    <t>A05, A06, A07</t>
  </si>
  <si>
    <t>65% indoor x 45% ICP x 12% reach: all unvalidated. Report as a scenario.</t>
  </si>
  <si>
    <t>SAM (display)</t>
  </si>
  <si>
    <t>SAM in 亿元</t>
  </si>
  <si>
    <t>=D7/100</t>
  </si>
  <si>
    <t/>
  </si>
  <si>
    <t>SOM (Year-1)</t>
  </si>
  <si>
    <t>SAM × Year-1 capture rate</t>
  </si>
  <si>
    <t>=D7*'1_Assumptions'!C9</t>
  </si>
  <si>
    <t>Assumption / UNVERIFIED: active capture rate; 1% / 2% / 3% sensitivity on sheet 3.</t>
  </si>
  <si>
    <t>SOM (display)</t>
  </si>
  <si>
    <t>SOM in CNY (absolute yuan)</t>
  </si>
  <si>
    <t>=D9*1000000</t>
  </si>
  <si>
    <t>CNY</t>
  </si>
  <si>
    <t>Scenario revenue, not a validated sales forecast.</t>
  </si>
  <si>
    <t>SOM units (illustrative)</t>
  </si>
  <si>
    <t>SOM CNY ÷ reference ASP</t>
  </si>
  <si>
    <t>=D10/'1_Assumptions'!C10</t>
  </si>
  <si>
    <t>units / year</t>
  </si>
  <si>
    <t>Illustrative only — ASP is competitor band, not our final price.</t>
  </si>
  <si>
    <t>Method and evidence limitations</t>
  </si>
  <si>
    <t>TAM uses the China smart-planter market (indoor + outdoor) as an adjacent-category proxy. SAM applies unvalidated indoor, ICP and reach filters. SOM applies an unvalidated first-year capture assumption to a 2024 market baseline. A launch-year estimate requires a supported update; no 2026 uplift is assumed.</t>
  </si>
  <si>
    <t>What this is NOT</t>
  </si>
  <si>
    <t>Do NOT present the ¥135亿 indoor foliage market or ¥2200亿 flower retail market as our TAM. Those measure plant/flower spend, not smart care devices. They are CONTEXT that demand for indoor plants (and therefore care pain) is large.</t>
  </si>
  <si>
    <t>Future channel validation; not required to calculate the scenario above</t>
  </si>
  <si>
    <t>Demand units</t>
  </si>
  <si>
    <t>From completed channel inputs</t>
  </si>
  <si>
    <t>=IF(ISNUMBER('1_Assumptions'!F26),'1_Assumptions'!F26,"Pending inputs")</t>
  </si>
  <si>
    <t>Pending until all channel inputs are supplied.</t>
  </si>
  <si>
    <t>Deliverable units</t>
  </si>
  <si>
    <t>Minimum of demand and delivery capacity</t>
  </si>
  <si>
    <t>=IF(ISNUMBER('1_Assumptions'!C32),'1_Assumptions'!C32,"Pending inputs")</t>
  </si>
  <si>
    <t>Assumes one unit per paid buyer.</t>
  </si>
  <si>
    <t>Revenue</t>
  </si>
  <si>
    <t>Deliverable units x proposed net selling price</t>
  </si>
  <si>
    <t>=IF(ISNUMBER('1_Assumptions'!C33),'1_Assumptions'!C33,"Pending inputs")</t>
  </si>
  <si>
    <t>Not automatically a verified target. Evidence required.</t>
  </si>
  <si>
    <t>Implied share</t>
  </si>
  <si>
    <t>Channel forecast revenue / SAM</t>
  </si>
  <si>
    <t>=IF(AND(ISNUMBER(D22),D7&gt;0),D22/(D7*1000000),"Pending inputs")</t>
  </si>
  <si>
    <t>share of SAM</t>
  </si>
  <si>
    <t>Compare with original capture assumption; do not treat as customer conversion.</t>
  </si>
  <si>
    <t>Interpretation</t>
  </si>
  <si>
    <t>渠道预测与原有比例情景分别列示。填完输入后此区自动更新；没有证据时不自动替换2%假设，也不声称已消除两种估算的差异。</t>
  </si>
  <si>
    <t>SOM sensitivity — supervisor often challenges capture rate</t>
  </si>
  <si>
    <t>Scenario</t>
  </si>
  <si>
    <t>Capture rate</t>
  </si>
  <si>
    <t>SOM (CNY million)</t>
  </si>
  <si>
    <t>SOM (CNY)</t>
  </si>
  <si>
    <t>Illustrative units @ ASP</t>
  </si>
  <si>
    <t>When to use</t>
  </si>
  <si>
    <t>Conservative</t>
  </si>
  <si>
    <t>Strong incumbent / weak willingness-to-pay evidence</t>
  </si>
  <si>
    <t>Base (workbook)</t>
  </si>
  <si>
    <t>Linked to the main assumption; remains unvalidated.</t>
  </si>
  <si>
    <t>Optimistic</t>
  </si>
  <si>
    <t>Only if interviews show clear switch from timer irrigators</t>
  </si>
  <si>
    <t>Also stress-test SAM channel % (A07)</t>
  </si>
  <si>
    <t>Alt A07</t>
  </si>
  <si>
    <t>Alt SAM CNY million</t>
  </si>
  <si>
    <t>Alt SOM @ active rate</t>
  </si>
  <si>
    <t>How to answer supervisor live</t>
  </si>
  <si>
    <t>Change the capture assumption in 1_Assumptions!C9: main SOM, base sensitivity and alternative-channel SOM all update. The 1% and 3% cases are stress tests, not statistical confidence bounds.</t>
  </si>
  <si>
    <t>BOTTOM-UP SANITY CHECK (student desk-pot path) — reconcile with top-down SOM</t>
  </si>
  <si>
    <t>Step</t>
  </si>
  <si>
    <t>Description</t>
  </si>
  <si>
    <t>Source IDs</t>
  </si>
  <si>
    <t>Note</t>
  </si>
  <si>
    <t>1</t>
  </si>
  <si>
    <t>HE students (persons)</t>
  </si>
  <si>
    <t>='1_Assumptions'!C14*10000</t>
  </si>
  <si>
    <t>MOE 2024</t>
  </si>
  <si>
    <t>2</t>
  </si>
  <si>
    <t>Student plant owners (national theoretical)</t>
  </si>
  <si>
    <t>=D4*'1_Assumptions'!C15</t>
  </si>
  <si>
    <t>Ownership prior UNVERIFIED</t>
  </si>
  <si>
    <t>3</t>
  </si>
  <si>
    <t>National student buyers open to smart device (theoretical annual)</t>
  </si>
  <si>
    <t>=D5*'1_Assumptions'!C16</t>
  </si>
  <si>
    <t>This is NOT Year-1 SOM — too wide</t>
  </si>
  <si>
    <t>4</t>
  </si>
  <si>
    <t>Theoretical student-segment revenue if all converted @ ASP</t>
  </si>
  <si>
    <t>=D6*'1_Assumptions'!C10/1000000</t>
  </si>
  <si>
    <t>Upper-bound story only</t>
  </si>
  <si>
    <t>5</t>
  </si>
  <si>
    <t>Year-1 REACHABLE students (channel capacity)</t>
  </si>
  <si>
    <t>='1_Assumptions'!C17</t>
  </si>
  <si>
    <t>Campus+content capacity</t>
  </si>
  <si>
    <t>6</t>
  </si>
  <si>
    <t>Reachable plant owners</t>
  </si>
  <si>
    <t>=D8*'1_Assumptions'!C15</t>
  </si>
  <si>
    <t>B02,B04</t>
  </si>
  <si>
    <t>7</t>
  </si>
  <si>
    <t>Bottom-up Year-1 units</t>
  </si>
  <si>
    <t>=D9*'1_Assumptions'!C18</t>
  </si>
  <si>
    <t>Direct conversion among reachable plant owners; 8% is not an extra funnel factor.</t>
  </si>
  <si>
    <t>8</t>
  </si>
  <si>
    <t>Bottom-up Year-1 SOM (CNY million)</t>
  </si>
  <si>
    <t>=D10*'1_Assumptions'!C10/1000000</t>
  </si>
  <si>
    <t>Compare to top-down SOM D9</t>
  </si>
  <si>
    <t>Reconciliation</t>
  </si>
  <si>
    <t>Top-down SOM (CNY million)</t>
  </si>
  <si>
    <t>Bottom-up SOM (CNY million)</t>
  </si>
  <si>
    <t>Ratio bottom-up / top-down</t>
  </si>
  <si>
    <t>Not an independent validation: student-only bottom-up is narrower than student + young-worker top-down. Both depend on unverified assumptions. The ratio is diagnostic, not proof of agreement; a &gt;10x gap requires explicit review.</t>
  </si>
  <si>
    <t>Reconciliation detail</t>
  </si>
  <si>
    <t>Metric / explanation</t>
  </si>
  <si>
    <t>Gap</t>
  </si>
  <si>
    <t>Top-down less student-only bottom-up</t>
  </si>
  <si>
    <t>=(B14-B15)*1000000</t>
  </si>
  <si>
    <t>Scope and assumptions differ; not evidence of worker sales.</t>
  </si>
  <si>
    <t>Multiple</t>
  </si>
  <si>
    <t>Top-down / student-only bottom-up</t>
  </si>
  <si>
    <t>=IF(B15=0,"n/a",B14/B15)</t>
  </si>
  <si>
    <t>times</t>
  </si>
  <si>
    <t>Diagnostic only; no acceptance threshold.</t>
  </si>
  <si>
    <t>Scope</t>
  </si>
  <si>
    <t>Top-down: students + young professionals; bottom-up: students only.</t>
  </si>
  <si>
    <t>Decision</t>
  </si>
  <si>
    <t>Keep the 2% top-down case as the market scenario and the student-only case as a separate plausibility check. Neither is an actual sales result.</t>
  </si>
  <si>
    <t>Next step</t>
  </si>
  <si>
    <t>Validate campus reach and direct paid conversion; quantify young-worker channels separately. Do not manufacture worker sales to force equality.</t>
  </si>
  <si>
    <t>Gap review</t>
  </si>
  <si>
    <t>User-supplied external claim</t>
  </si>
  <si>
    <t>Source</t>
  </si>
  <si>
    <t>Permitted use</t>
  </si>
  <si>
    <t>Limit / confidence</t>
  </si>
  <si>
    <t>S01</t>
  </si>
  <si>
    <t>China Smart Planters: US$87.1M in 2030; CAGR 5.3% (2024-2030)</t>
  </si>
  <si>
    <t>GIA / GII public abstract</t>
  </si>
  <si>
    <t>Device TAM proxy; back-calculate 2024</t>
  </si>
  <si>
    <t>Medium; forecast and adjacent-category proxy, not our sales.</t>
  </si>
  <si>
    <t>S02</t>
  </si>
  <si>
    <t>2024 indoor foliage plants: CNY135亿元; tropical/specialty about 30%</t>
  </si>
  <si>
    <t>China Flower Association / forestry portal</t>
  </si>
  <si>
    <t>CONTEXT only</t>
  </si>
  <si>
    <t>Plant spending, not device TAM.</t>
  </si>
  <si>
    <t>S03</t>
  </si>
  <si>
    <t>2024 flowers: near CNY2200亿元; online about CNY1200亿元 / 54.5%</t>
  </si>
  <si>
    <t>China Flower Association retail branch</t>
  </si>
  <si>
    <t>CONTEXT / channel direction only</t>
  </si>
  <si>
    <t>Does not establish device adoption or team reach.</t>
  </si>
  <si>
    <t>S04</t>
  </si>
  <si>
    <t>2024 indoor plants: CNY222.23亿元</t>
  </si>
  <si>
    <t>Beizhes, cited by Gelonghui</t>
  </si>
  <si>
    <t>Medium; secondary citation, broad plant category.</t>
  </si>
  <si>
    <t>S05</t>
  </si>
  <si>
    <t>2024 ordinary + vocational undergraduate/college students: 3891.26万人</t>
  </si>
  <si>
    <t>MOE 2024 statistical bulletin</t>
  </si>
  <si>
    <t>Bottom-up national student pool</t>
  </si>
  <si>
    <t>User-supplied official data; excludes worker pool.</t>
  </si>
  <si>
    <t>S06</t>
  </si>
  <si>
    <t>Green-home preference about 50.29% in 18-35 sample</t>
  </si>
  <si>
    <t>Fudan Development Institute</t>
  </si>
  <si>
    <t>https://fddi.fudan.edu.cn/54/c7/c19047a742599/page.htm</t>
  </si>
  <si>
    <t>Preference context only</t>
  </si>
  <si>
    <t>Not ownership, purchase conversion or national penetration.</t>
  </si>
  <si>
    <t>S07</t>
  </si>
  <si>
    <t>White-collar and student buyers; self-watering/lazy pots popular</t>
  </si>
  <si>
    <t>Consumer Daily / JD consumption coverage</t>
  </si>
  <si>
    <t>http://www.xfrb.com.cn/article/council/16452445152521.html</t>
  </si>
  <si>
    <t>ICP and substitutes context</t>
  </si>
  <si>
    <t>Platform observations, not national shares.</t>
  </si>
  <si>
    <t>S08</t>
  </si>
  <si>
    <t>Yimitian-like third-party band about CNY399-499</t>
  </si>
  <si>
    <t>User-supplied price band; official entry</t>
  </si>
  <si>
    <t>ASP reference; base translation uses 399</t>
  </si>
  <si>
    <t>Medium; channel variation; not Green Sight price; official entry is not proof of current band.</t>
  </si>
  <si>
    <t>S09</t>
  </si>
  <si>
    <t>Xiaomi Flower Monitor about CNY49; monitoring only</t>
  </si>
  <si>
    <t>User-supplied official-price reference</t>
  </si>
  <si>
    <t>https://www.mi.com/flowermonitor</t>
  </si>
  <si>
    <t>Lower-feature price comparison</t>
  </si>
  <si>
    <t>Availability/current price not rechecked; no actuation.</t>
  </si>
  <si>
    <t>S10</t>
  </si>
  <si>
    <t>Wi-Fi timer/remote irrigators about CNY40-50+</t>
  </si>
  <si>
    <t>User-supplied aggregator example</t>
  </si>
  <si>
    <t>https://www.tianmaocn.com/item/oo8wN2fBv88mQevHJn.html</t>
  </si>
  <si>
    <t>Low-cost substitute context</t>
  </si>
  <si>
    <t>Low; aggregate listing; no sales-volume or market-share inference.</t>
  </si>
  <si>
    <t>Draft lines for Assessment 1 Slide 2 (Problem &amp; Market Opportunity)</t>
  </si>
  <si>
    <t>English (A1 deck)</t>
  </si>
  <si>
    <t>Green Sight AI is a continuing prototype with no paid revenue or observed conversion rate. The China smart-planter proxy uses the 2024 baseline. SAM filters and Year-1 capture are explicitly unverified planning assumptions. Use the linked figures below with the 1% / 2% / 3% sensitivity, not as actual traction.</t>
  </si>
  <si>
    <t>Linked scenario figures - disclose assumptions and baseline year</t>
  </si>
  <si>
    <t>TAM CNY million</t>
  </si>
  <si>
    <t>SAM CNY million</t>
  </si>
  <si>
    <t>SOM CNY million (active rate)</t>
  </si>
  <si>
    <t>SOM CNY</t>
  </si>
  <si>
    <t>Illustrative units</t>
  </si>
  <si>
    <t>Chinese (Evidence Hub / oral checkpoint)</t>
  </si>
  <si>
    <t>Green Sight AI目前仍是原型，无付费收入或真实转化率。以2024中国智能花盆市场为设备代理；SAM的65%室内占比、45%ICP占比、12%渠道可达比例和SOM的2%捕获率均为UNVERIFIED假设。植物零售额仅作背景。学生bottom-up是不同范围的对照，不是对预测的独立验证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</si>
</sst>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,##0.0"/>
    <numFmt numFmtId="177" formatCode="0.000"/>
    <numFmt numFmtId="178" formatCode="0.0%"/>
  </numFmts>
  <fonts count="28">
    <font>
      <sz val="11"/>
      <color theme="1"/>
      <name val="Calibri"/>
      <charset val="134"/>
    </font>
    <font>
      <b/>
      <sz val="13"/>
      <color rgb="FF1F4E79"/>
      <name val="Calibri"/>
      <charset val="134"/>
    </font>
    <font>
      <b/>
      <sz val="11"/>
      <name val="Calibri"/>
      <charset val="134"/>
    </font>
    <font>
      <sz val="10"/>
      <name val="Calibri"/>
      <charset val="134"/>
    </font>
    <font>
      <b/>
      <sz val="11"/>
      <color rgb="FFFFFFFF"/>
      <name val="Calibri"/>
      <charset val="134"/>
    </font>
    <font>
      <sz val="10"/>
      <color theme="1"/>
      <name val="Arial"/>
      <charset val="134"/>
    </font>
    <font>
      <b/>
      <sz val="14"/>
      <color rgb="FF1F4E79"/>
      <name val="Calibri"/>
      <charset val="134"/>
    </font>
    <font>
      <b/>
      <sz val="10"/>
      <color rgb="FFFFFFFF"/>
      <name val="Arial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E2EFDA"/>
        <bgColor indexed="64"/>
      </patternFill>
    </fill>
    <fill>
      <patternFill patternType="solid">
        <fgColor rgb="FF1F4E79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1F4E78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8" fillId="0" borderId="0">
      <alignment vertical="center"/>
    </xf>
    <xf numFmtId="43" fontId="8" fillId="0" borderId="0" applyFont="0" applyFill="0" applyBorder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8" fillId="10" borderId="2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11" borderId="5" applyNumberFormat="0" applyAlignment="0" applyProtection="0">
      <alignment vertical="center"/>
    </xf>
    <xf numFmtId="0" fontId="18" fillId="12" borderId="6" applyNumberFormat="0" applyAlignment="0" applyProtection="0">
      <alignment vertical="center"/>
    </xf>
    <xf numFmtId="0" fontId="19" fillId="12" borderId="5" applyNumberFormat="0" applyAlignment="0" applyProtection="0">
      <alignment vertical="center"/>
    </xf>
    <xf numFmtId="0" fontId="20" fillId="13" borderId="7" applyNumberFormat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7" fillId="34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27" fillId="38" borderId="0" applyNumberFormat="0" applyBorder="0" applyAlignment="0" applyProtection="0">
      <alignment vertical="center"/>
    </xf>
    <xf numFmtId="0" fontId="27" fillId="39" borderId="0" applyNumberFormat="0" applyBorder="0" applyAlignment="0" applyProtection="0">
      <alignment vertical="center"/>
    </xf>
    <xf numFmtId="0" fontId="26" fillId="40" borderId="0" applyNumberFormat="0" applyBorder="0" applyAlignment="0" applyProtection="0">
      <alignment vertical="center"/>
    </xf>
    <xf numFmtId="0" fontId="0" fillId="0" borderId="0"/>
  </cellStyleXfs>
  <cellXfs count="47">
    <xf numFmtId="0" fontId="0" fillId="0" borderId="0" xfId="49"/>
    <xf numFmtId="0" fontId="1" fillId="0" borderId="0" xfId="49" applyFont="1"/>
    <xf numFmtId="0" fontId="2" fillId="0" borderId="0" xfId="49" applyFont="1"/>
    <xf numFmtId="0" fontId="3" fillId="0" borderId="1" xfId="49" applyFont="1" applyBorder="1" applyAlignment="1">
      <alignment vertical="top" wrapText="1"/>
    </xf>
    <xf numFmtId="0" fontId="2" fillId="0" borderId="1" xfId="49" applyFont="1" applyBorder="1" applyAlignment="1">
      <alignment vertical="top" wrapText="1"/>
    </xf>
    <xf numFmtId="2" fontId="3" fillId="2" borderId="1" xfId="49" applyNumberFormat="1" applyFont="1" applyFill="1" applyBorder="1" applyAlignment="1">
      <alignment vertical="top" wrapText="1"/>
    </xf>
    <xf numFmtId="4" fontId="3" fillId="2" borderId="1" xfId="49" applyNumberFormat="1" applyFont="1" applyFill="1" applyBorder="1" applyAlignment="1">
      <alignment vertical="top" wrapText="1"/>
    </xf>
    <xf numFmtId="0" fontId="4" fillId="3" borderId="1" xfId="49" applyFont="1" applyFill="1" applyBorder="1"/>
    <xf numFmtId="0" fontId="3" fillId="0" borderId="1" xfId="49" applyNumberFormat="1" applyFont="1" applyFill="1" applyBorder="1" applyAlignment="1">
      <alignment vertical="top" wrapText="1"/>
    </xf>
    <xf numFmtId="0" fontId="3" fillId="4" borderId="1" xfId="49" applyNumberFormat="1" applyFont="1" applyFill="1" applyBorder="1" applyAlignment="1">
      <alignment vertical="top" wrapText="1"/>
    </xf>
    <xf numFmtId="0" fontId="0" fillId="0" borderId="0" xfId="49" applyNumberFormat="1" applyFont="1" applyFill="1" applyBorder="1" applyAlignment="1">
      <alignment wrapText="1"/>
    </xf>
    <xf numFmtId="176" fontId="3" fillId="5" borderId="1" xfId="49" applyNumberFormat="1" applyFont="1" applyFill="1" applyBorder="1" applyAlignment="1">
      <alignment vertical="top" wrapText="1"/>
    </xf>
    <xf numFmtId="176" fontId="3" fillId="6" borderId="1" xfId="49" applyNumberFormat="1" applyFont="1" applyFill="1" applyBorder="1" applyAlignment="1">
      <alignment vertical="top" wrapText="1"/>
    </xf>
    <xf numFmtId="177" fontId="3" fillId="5" borderId="1" xfId="49" applyNumberFormat="1" applyFont="1" applyFill="1" applyBorder="1" applyAlignment="1">
      <alignment vertical="top" wrapText="1"/>
    </xf>
    <xf numFmtId="177" fontId="3" fillId="6" borderId="1" xfId="49" applyNumberFormat="1" applyFont="1" applyFill="1" applyBorder="1" applyAlignment="1">
      <alignment vertical="top" wrapText="1"/>
    </xf>
    <xf numFmtId="0" fontId="0" fillId="2" borderId="0" xfId="49" applyFill="1"/>
    <xf numFmtId="2" fontId="0" fillId="2" borderId="0" xfId="49" applyNumberFormat="1" applyFill="1"/>
    <xf numFmtId="0" fontId="3" fillId="4" borderId="1" xfId="49" applyFont="1" applyFill="1" applyBorder="1" applyAlignment="1">
      <alignment vertical="top" wrapText="1"/>
    </xf>
    <xf numFmtId="0" fontId="5" fillId="0" borderId="0" xfId="49" applyNumberFormat="1" applyFont="1" applyFill="1" applyBorder="1" applyAlignment="1">
      <alignment vertical="top" wrapText="1"/>
    </xf>
    <xf numFmtId="0" fontId="5" fillId="5" borderId="0" xfId="49" applyNumberFormat="1" applyFont="1" applyFill="1" applyBorder="1" applyAlignment="1">
      <alignment vertical="top" wrapText="1"/>
    </xf>
    <xf numFmtId="3" fontId="5" fillId="6" borderId="0" xfId="49" applyNumberFormat="1" applyFont="1" applyFill="1" applyBorder="1" applyAlignment="1">
      <alignment vertical="top" wrapText="1"/>
    </xf>
    <xf numFmtId="2" fontId="5" fillId="6" borderId="0" xfId="49" applyNumberFormat="1" applyFont="1" applyFill="1" applyBorder="1" applyAlignment="1">
      <alignment vertical="top" wrapText="1"/>
    </xf>
    <xf numFmtId="9" fontId="3" fillId="7" borderId="1" xfId="49" applyNumberFormat="1" applyFont="1" applyFill="1" applyBorder="1" applyAlignment="1">
      <alignment vertical="top" wrapText="1"/>
    </xf>
    <xf numFmtId="177" fontId="3" fillId="2" borderId="1" xfId="49" applyNumberFormat="1" applyFont="1" applyFill="1" applyBorder="1" applyAlignment="1">
      <alignment vertical="top" wrapText="1"/>
    </xf>
    <xf numFmtId="3" fontId="3" fillId="2" borderId="1" xfId="49" applyNumberFormat="1" applyFont="1" applyFill="1" applyBorder="1" applyAlignment="1">
      <alignment vertical="top" wrapText="1"/>
    </xf>
    <xf numFmtId="176" fontId="3" fillId="2" borderId="1" xfId="49" applyNumberFormat="1" applyFont="1" applyFill="1" applyBorder="1" applyAlignment="1">
      <alignment vertical="top" wrapText="1"/>
    </xf>
    <xf numFmtId="9" fontId="3" fillId="6" borderId="1" xfId="49" applyNumberFormat="1" applyFont="1" applyFill="1" applyBorder="1" applyAlignment="1">
      <alignment vertical="top" wrapText="1"/>
    </xf>
    <xf numFmtId="0" fontId="6" fillId="0" borderId="0" xfId="49" applyFont="1"/>
    <xf numFmtId="0" fontId="4" fillId="3" borderId="1" xfId="49" applyFont="1" applyFill="1" applyBorder="1" applyAlignment="1">
      <alignment vertical="center" wrapText="1"/>
    </xf>
    <xf numFmtId="2" fontId="3" fillId="5" borderId="1" xfId="49" applyNumberFormat="1" applyFont="1" applyFill="1" applyBorder="1" applyAlignment="1">
      <alignment vertical="top" wrapText="1"/>
    </xf>
    <xf numFmtId="2" fontId="3" fillId="6" borderId="1" xfId="49" applyNumberFormat="1" applyFont="1" applyFill="1" applyBorder="1" applyAlignment="1">
      <alignment vertical="top" wrapText="1"/>
    </xf>
    <xf numFmtId="3" fontId="3" fillId="5" borderId="1" xfId="49" applyNumberFormat="1" applyFont="1" applyFill="1" applyBorder="1" applyAlignment="1">
      <alignment vertical="top" wrapText="1"/>
    </xf>
    <xf numFmtId="3" fontId="3" fillId="6" borderId="1" xfId="49" applyNumberFormat="1" applyFont="1" applyFill="1" applyBorder="1" applyAlignment="1">
      <alignment vertical="top" wrapText="1"/>
    </xf>
    <xf numFmtId="4" fontId="5" fillId="6" borderId="0" xfId="49" applyNumberFormat="1" applyFont="1" applyFill="1" applyBorder="1" applyAlignment="1">
      <alignment vertical="top" wrapText="1"/>
    </xf>
    <xf numFmtId="10" fontId="5" fillId="6" borderId="0" xfId="49" applyNumberFormat="1" applyFont="1" applyFill="1" applyBorder="1" applyAlignment="1">
      <alignment vertical="top" wrapText="1"/>
    </xf>
    <xf numFmtId="0" fontId="4" fillId="3" borderId="1" xfId="49" applyFont="1" applyFill="1" applyBorder="1" applyAlignment="1">
      <alignment horizontal="center" vertical="center" wrapText="1"/>
    </xf>
    <xf numFmtId="0" fontId="7" fillId="8" borderId="0" xfId="49" applyNumberFormat="1" applyFont="1" applyFill="1" applyBorder="1" applyAlignment="1">
      <alignment vertical="top" wrapText="1"/>
    </xf>
    <xf numFmtId="2" fontId="3" fillId="7" borderId="1" xfId="49" applyNumberFormat="1" applyFont="1" applyFill="1" applyBorder="1" applyAlignment="1">
      <alignment vertical="top" wrapText="1"/>
    </xf>
    <xf numFmtId="0" fontId="3" fillId="9" borderId="1" xfId="49" applyFont="1" applyFill="1" applyBorder="1" applyAlignment="1">
      <alignment vertical="top" wrapText="1"/>
    </xf>
    <xf numFmtId="178" fontId="3" fillId="7" borderId="1" xfId="49" applyNumberFormat="1" applyFont="1" applyFill="1" applyBorder="1" applyAlignment="1">
      <alignment vertical="top" wrapText="1"/>
    </xf>
    <xf numFmtId="0" fontId="3" fillId="7" borderId="1" xfId="49" applyFont="1" applyFill="1" applyBorder="1" applyAlignment="1">
      <alignment vertical="top" wrapText="1"/>
    </xf>
    <xf numFmtId="0" fontId="5" fillId="7" borderId="0" xfId="49" applyNumberFormat="1" applyFont="1" applyFill="1" applyBorder="1" applyAlignment="1">
      <alignment vertical="top" wrapText="1"/>
    </xf>
    <xf numFmtId="4" fontId="5" fillId="7" borderId="0" xfId="49" applyNumberFormat="1" applyFont="1" applyFill="1" applyBorder="1" applyAlignment="1">
      <alignment vertical="top" wrapText="1"/>
    </xf>
    <xf numFmtId="178" fontId="5" fillId="7" borderId="0" xfId="49" applyNumberFormat="1" applyFont="1" applyFill="1" applyBorder="1" applyAlignment="1">
      <alignment vertical="top" wrapText="1"/>
    </xf>
    <xf numFmtId="176" fontId="5" fillId="6" borderId="0" xfId="49" applyNumberFormat="1" applyFont="1" applyFill="1" applyBorder="1" applyAlignment="1">
      <alignment vertical="top" wrapText="1"/>
    </xf>
    <xf numFmtId="4" fontId="5" fillId="0" borderId="0" xfId="49" applyNumberFormat="1" applyFont="1" applyFill="1" applyBorder="1" applyAlignment="1">
      <alignment vertical="top" wrapText="1"/>
    </xf>
    <xf numFmtId="4" fontId="7" fillId="8" borderId="0" xfId="49" applyNumberFormat="1" applyFont="1" applyFill="1" applyBorder="1" applyAlignment="1">
      <alignment vertical="top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8"/>
  <sheetViews>
    <sheetView tabSelected="1" topLeftCell="A13" workbookViewId="0">
      <selection activeCell="A18" sqref="A18"/>
    </sheetView>
  </sheetViews>
  <sheetFormatPr defaultColWidth="9" defaultRowHeight="14.5" outlineLevelCol="1"/>
  <cols>
    <col min="1" max="1" width="28" customWidth="1"/>
    <col min="2" max="2" width="100" customWidth="1"/>
  </cols>
  <sheetData>
    <row r="1" ht="29" spans="1:2">
      <c r="A1" s="35" t="s">
        <v>0</v>
      </c>
      <c r="B1" s="35"/>
    </row>
    <row r="3" spans="1:2">
      <c r="A3" t="s">
        <v>1</v>
      </c>
      <c r="B3" t="s">
        <v>2</v>
      </c>
    </row>
    <row r="4" ht="36" customHeight="1" spans="1:2">
      <c r="A4" s="4" t="s">
        <v>3</v>
      </c>
      <c r="B4" s="3" t="s">
        <v>4</v>
      </c>
    </row>
    <row r="5" ht="36" customHeight="1" spans="1:2">
      <c r="A5" s="4" t="s">
        <v>5</v>
      </c>
      <c r="B5" s="3" t="s">
        <v>6</v>
      </c>
    </row>
    <row r="6" ht="36" customHeight="1" spans="1:2">
      <c r="A6" s="4" t="s">
        <v>7</v>
      </c>
      <c r="B6" s="3" t="s">
        <v>8</v>
      </c>
    </row>
    <row r="7" ht="36" customHeight="1" spans="1:2">
      <c r="A7" s="4" t="s">
        <v>9</v>
      </c>
      <c r="B7" s="3" t="s">
        <v>10</v>
      </c>
    </row>
    <row r="8" ht="36" customHeight="1" spans="1:2">
      <c r="A8" s="4" t="s">
        <v>11</v>
      </c>
      <c r="B8" s="3" t="s">
        <v>12</v>
      </c>
    </row>
    <row r="9" ht="36" customHeight="1" spans="1:2">
      <c r="A9" s="4" t="s">
        <v>13</v>
      </c>
      <c r="B9" s="3" t="s">
        <v>14</v>
      </c>
    </row>
    <row r="10" ht="105" customHeight="1" spans="1:2">
      <c r="A10" s="4" t="s">
        <v>15</v>
      </c>
      <c r="B10" s="3" t="s">
        <v>16</v>
      </c>
    </row>
    <row r="11" ht="65" customHeight="1" spans="1:2">
      <c r="A11" s="4" t="s">
        <v>17</v>
      </c>
      <c r="B11" s="3" t="s">
        <v>18</v>
      </c>
    </row>
    <row r="12" ht="65" customHeight="1" spans="1:2">
      <c r="A12" s="4" t="s">
        <v>19</v>
      </c>
      <c r="B12" s="3" t="s">
        <v>20</v>
      </c>
    </row>
    <row r="13" ht="65" customHeight="1" spans="1:2">
      <c r="A13" s="4" t="s">
        <v>21</v>
      </c>
      <c r="B13" s="3" t="s">
        <v>22</v>
      </c>
    </row>
    <row r="14" ht="65" customHeight="1" spans="1:2">
      <c r="A14" s="4" t="s">
        <v>23</v>
      </c>
      <c r="B14" s="3" t="s">
        <v>24</v>
      </c>
    </row>
    <row r="15" ht="65" customHeight="1" spans="1:2">
      <c r="A15" s="4" t="s">
        <v>25</v>
      </c>
      <c r="B15" s="3" t="s">
        <v>26</v>
      </c>
    </row>
    <row r="16" ht="65" customHeight="1" spans="1:2">
      <c r="A16" s="4" t="s">
        <v>27</v>
      </c>
      <c r="B16" s="3" t="s">
        <v>28</v>
      </c>
    </row>
    <row r="18" ht="80" customHeight="1" spans="1:2">
      <c r="A18" s="10"/>
      <c r="B18" s="10"/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3"/>
  <sheetViews>
    <sheetView workbookViewId="0">
      <pane xSplit="2" ySplit="1" topLeftCell="C2" activePane="bottomRight" state="frozen"/>
      <selection/>
      <selection pane="topRight"/>
      <selection pane="bottomLeft"/>
      <selection pane="bottomRight" activeCell="A1" sqref="A1"/>
    </sheetView>
  </sheetViews>
  <sheetFormatPr defaultColWidth="9" defaultRowHeight="14.5"/>
  <cols>
    <col min="1" max="1" width="18" customWidth="1"/>
    <col min="2" max="2" width="55" customWidth="1"/>
    <col min="3" max="3" width="12" customWidth="1"/>
    <col min="4" max="4" width="18" customWidth="1"/>
    <col min="5" max="5" width="14" customWidth="1"/>
    <col min="6" max="6" width="55" customWidth="1"/>
    <col min="7" max="7" width="40" customWidth="1"/>
    <col min="8" max="8" width="18" customWidth="1"/>
    <col min="9" max="9" width="55" customWidth="1"/>
  </cols>
  <sheetData>
    <row r="1" ht="30" customHeight="1" spans="1:9">
      <c r="A1" s="35" t="s">
        <v>29</v>
      </c>
      <c r="B1" s="35" t="s">
        <v>30</v>
      </c>
      <c r="C1" s="35" t="s">
        <v>31</v>
      </c>
      <c r="D1" s="35" t="s">
        <v>11</v>
      </c>
      <c r="E1" s="35" t="s">
        <v>32</v>
      </c>
      <c r="F1" s="35" t="s">
        <v>33</v>
      </c>
      <c r="G1" s="35" t="s">
        <v>34</v>
      </c>
      <c r="H1" s="35" t="s">
        <v>35</v>
      </c>
      <c r="I1" s="36" t="s">
        <v>36</v>
      </c>
    </row>
    <row r="2" ht="55" customHeight="1" spans="1:9">
      <c r="A2" s="3" t="s">
        <v>37</v>
      </c>
      <c r="B2" s="3" t="s">
        <v>38</v>
      </c>
      <c r="C2" s="37">
        <v>87.1</v>
      </c>
      <c r="D2" s="3" t="s">
        <v>39</v>
      </c>
      <c r="E2" s="3" t="s">
        <v>40</v>
      </c>
      <c r="F2" s="38" t="s">
        <v>41</v>
      </c>
      <c r="G2" s="3" t="s">
        <v>42</v>
      </c>
      <c r="H2" s="3" t="s">
        <v>43</v>
      </c>
      <c r="I2" s="18" t="s">
        <v>44</v>
      </c>
    </row>
    <row r="3" ht="55" customHeight="1" spans="1:9">
      <c r="A3" s="3" t="s">
        <v>45</v>
      </c>
      <c r="B3" s="3" t="s">
        <v>46</v>
      </c>
      <c r="C3" s="39">
        <v>0.053</v>
      </c>
      <c r="D3" s="3" t="s">
        <v>47</v>
      </c>
      <c r="E3" s="3" t="s">
        <v>40</v>
      </c>
      <c r="F3" s="38" t="s">
        <v>48</v>
      </c>
      <c r="G3" s="3" t="s">
        <v>42</v>
      </c>
      <c r="H3" s="3" t="s">
        <v>49</v>
      </c>
      <c r="I3" s="18" t="s">
        <v>50</v>
      </c>
    </row>
    <row r="4" ht="55" customHeight="1" spans="1:9">
      <c r="A4" s="3" t="s">
        <v>51</v>
      </c>
      <c r="B4" s="3" t="s">
        <v>52</v>
      </c>
      <c r="C4" s="40">
        <v>6</v>
      </c>
      <c r="D4" s="3" t="s">
        <v>53</v>
      </c>
      <c r="E4" s="3" t="s">
        <v>40</v>
      </c>
      <c r="F4" s="38" t="s">
        <v>54</v>
      </c>
      <c r="G4" s="3" t="s">
        <v>55</v>
      </c>
      <c r="H4" s="3" t="s">
        <v>56</v>
      </c>
      <c r="I4" s="18" t="s">
        <v>57</v>
      </c>
    </row>
    <row r="5" ht="55" customHeight="1" spans="1:9">
      <c r="A5" s="3" t="s">
        <v>58</v>
      </c>
      <c r="B5" s="3" t="s">
        <v>59</v>
      </c>
      <c r="C5" s="37">
        <v>7.2</v>
      </c>
      <c r="D5" s="3" t="s">
        <v>60</v>
      </c>
      <c r="E5" s="3" t="s">
        <v>40</v>
      </c>
      <c r="F5" s="38" t="s">
        <v>61</v>
      </c>
      <c r="G5" s="3" t="s">
        <v>62</v>
      </c>
      <c r="H5" s="3" t="s">
        <v>63</v>
      </c>
      <c r="I5" s="18" t="s">
        <v>64</v>
      </c>
    </row>
    <row r="6" ht="110" customHeight="1" spans="1:9">
      <c r="A6" s="3" t="s">
        <v>65</v>
      </c>
      <c r="B6" s="3" t="s">
        <v>66</v>
      </c>
      <c r="C6" s="39">
        <v>0.65</v>
      </c>
      <c r="D6" s="3" t="s">
        <v>47</v>
      </c>
      <c r="E6" s="3" t="s">
        <v>67</v>
      </c>
      <c r="F6" s="38" t="s">
        <v>68</v>
      </c>
      <c r="G6" s="3" t="s">
        <v>69</v>
      </c>
      <c r="H6" s="3" t="s">
        <v>63</v>
      </c>
      <c r="I6" s="18" t="s">
        <v>70</v>
      </c>
    </row>
    <row r="7" ht="110" customHeight="1" spans="1:9">
      <c r="A7" s="3" t="s">
        <v>71</v>
      </c>
      <c r="B7" s="3" t="s">
        <v>72</v>
      </c>
      <c r="C7" s="39">
        <v>0.45</v>
      </c>
      <c r="D7" s="3" t="s">
        <v>47</v>
      </c>
      <c r="E7" s="3" t="s">
        <v>67</v>
      </c>
      <c r="F7" s="38" t="s">
        <v>73</v>
      </c>
      <c r="G7" s="3" t="s">
        <v>74</v>
      </c>
      <c r="H7" s="3" t="s">
        <v>63</v>
      </c>
      <c r="I7" s="18" t="s">
        <v>75</v>
      </c>
    </row>
    <row r="8" ht="110" customHeight="1" spans="1:9">
      <c r="A8" s="3" t="s">
        <v>76</v>
      </c>
      <c r="B8" s="3" t="s">
        <v>77</v>
      </c>
      <c r="C8" s="39">
        <v>0.12</v>
      </c>
      <c r="D8" s="3" t="s">
        <v>47</v>
      </c>
      <c r="E8" s="3" t="s">
        <v>67</v>
      </c>
      <c r="F8" s="38" t="s">
        <v>78</v>
      </c>
      <c r="G8" s="3" t="s">
        <v>79</v>
      </c>
      <c r="H8" s="3" t="s">
        <v>63</v>
      </c>
      <c r="I8" s="18" t="s">
        <v>80</v>
      </c>
    </row>
    <row r="9" ht="110" customHeight="1" spans="1:9">
      <c r="A9" s="3" t="s">
        <v>81</v>
      </c>
      <c r="B9" s="3" t="s">
        <v>82</v>
      </c>
      <c r="C9" s="39">
        <v>0.02</v>
      </c>
      <c r="D9" s="3" t="s">
        <v>47</v>
      </c>
      <c r="E9" s="3" t="s">
        <v>83</v>
      </c>
      <c r="F9" s="38" t="s">
        <v>84</v>
      </c>
      <c r="G9" s="3" t="s">
        <v>85</v>
      </c>
      <c r="H9" s="3" t="s">
        <v>63</v>
      </c>
      <c r="I9" s="18" t="s">
        <v>86</v>
      </c>
    </row>
    <row r="10" ht="55" customHeight="1" spans="1:9">
      <c r="A10" s="3" t="s">
        <v>87</v>
      </c>
      <c r="B10" s="3" t="s">
        <v>88</v>
      </c>
      <c r="C10" s="40">
        <v>399</v>
      </c>
      <c r="D10" s="3" t="s">
        <v>89</v>
      </c>
      <c r="E10" s="3" t="s">
        <v>90</v>
      </c>
      <c r="F10" s="38" t="s">
        <v>91</v>
      </c>
      <c r="G10" s="3" t="s">
        <v>92</v>
      </c>
      <c r="H10" s="3" t="s">
        <v>93</v>
      </c>
      <c r="I10" s="18" t="s">
        <v>94</v>
      </c>
    </row>
    <row r="11" ht="55" customHeight="1" spans="1:9">
      <c r="A11" s="3" t="s">
        <v>95</v>
      </c>
      <c r="B11" s="3" t="s">
        <v>96</v>
      </c>
      <c r="C11" s="40">
        <v>135</v>
      </c>
      <c r="D11" s="3" t="s">
        <v>97</v>
      </c>
      <c r="E11" s="3" t="s">
        <v>98</v>
      </c>
      <c r="F11" s="38" t="s">
        <v>99</v>
      </c>
      <c r="G11" s="3" t="s">
        <v>100</v>
      </c>
      <c r="H11" s="3" t="s">
        <v>101</v>
      </c>
      <c r="I11" s="18" t="s">
        <v>102</v>
      </c>
    </row>
    <row r="12" ht="55" customHeight="1" spans="1:9">
      <c r="A12" s="3" t="s">
        <v>103</v>
      </c>
      <c r="B12" s="3" t="s">
        <v>104</v>
      </c>
      <c r="C12" s="40">
        <v>2200</v>
      </c>
      <c r="D12" s="3" t="s">
        <v>97</v>
      </c>
      <c r="E12" s="3" t="s">
        <v>105</v>
      </c>
      <c r="F12" s="38" t="s">
        <v>106</v>
      </c>
      <c r="G12" s="3" t="s">
        <v>107</v>
      </c>
      <c r="H12" s="3" t="s">
        <v>56</v>
      </c>
      <c r="I12" s="18" t="s">
        <v>108</v>
      </c>
    </row>
    <row r="13" ht="55" customHeight="1" spans="1:9">
      <c r="A13" s="3" t="s">
        <v>109</v>
      </c>
      <c r="B13" s="3" t="s">
        <v>110</v>
      </c>
      <c r="C13" s="37">
        <v>222.23</v>
      </c>
      <c r="D13" s="3" t="s">
        <v>97</v>
      </c>
      <c r="E13" s="3" t="s">
        <v>111</v>
      </c>
      <c r="F13" s="38" t="s">
        <v>112</v>
      </c>
      <c r="G13" s="3" t="s">
        <v>113</v>
      </c>
      <c r="H13" s="3" t="s">
        <v>114</v>
      </c>
      <c r="I13" s="18" t="s">
        <v>115</v>
      </c>
    </row>
    <row r="14" ht="55" customHeight="1" spans="1:9">
      <c r="A14" s="3" t="s">
        <v>116</v>
      </c>
      <c r="B14" s="3" t="s">
        <v>117</v>
      </c>
      <c r="C14" s="37">
        <v>3891.26</v>
      </c>
      <c r="D14" s="3" t="s">
        <v>118</v>
      </c>
      <c r="E14" s="3" t="s">
        <v>119</v>
      </c>
      <c r="F14" s="38" t="s">
        <v>120</v>
      </c>
      <c r="G14" s="3" t="s">
        <v>121</v>
      </c>
      <c r="H14" s="3" t="s">
        <v>56</v>
      </c>
      <c r="I14" s="18" t="s">
        <v>122</v>
      </c>
    </row>
    <row r="15" ht="55" customHeight="1" spans="1:9">
      <c r="A15" s="3" t="s">
        <v>123</v>
      </c>
      <c r="B15" s="3" t="s">
        <v>124</v>
      </c>
      <c r="C15" s="39">
        <v>0.2</v>
      </c>
      <c r="D15" s="3" t="s">
        <v>47</v>
      </c>
      <c r="E15" s="3" t="s">
        <v>119</v>
      </c>
      <c r="F15" s="38" t="s">
        <v>125</v>
      </c>
      <c r="G15" s="3" t="s">
        <v>126</v>
      </c>
      <c r="H15" s="3" t="s">
        <v>63</v>
      </c>
      <c r="I15" s="18" t="s">
        <v>127</v>
      </c>
    </row>
    <row r="16" ht="55" customHeight="1" spans="1:9">
      <c r="A16" s="3" t="s">
        <v>128</v>
      </c>
      <c r="B16" s="3" t="s">
        <v>129</v>
      </c>
      <c r="C16" s="39">
        <v>0.08</v>
      </c>
      <c r="D16" s="3" t="s">
        <v>47</v>
      </c>
      <c r="E16" s="3" t="s">
        <v>119</v>
      </c>
      <c r="F16" s="38" t="s">
        <v>130</v>
      </c>
      <c r="G16" s="3" t="s">
        <v>131</v>
      </c>
      <c r="H16" s="3" t="s">
        <v>63</v>
      </c>
      <c r="I16" s="18" t="s">
        <v>132</v>
      </c>
    </row>
    <row r="17" ht="55" customHeight="1" spans="1:9">
      <c r="A17" s="3" t="s">
        <v>133</v>
      </c>
      <c r="B17" s="3" t="s">
        <v>134</v>
      </c>
      <c r="C17" s="40">
        <v>80000</v>
      </c>
      <c r="D17" s="3" t="s">
        <v>135</v>
      </c>
      <c r="E17" s="3" t="s">
        <v>136</v>
      </c>
      <c r="F17" s="38" t="s">
        <v>137</v>
      </c>
      <c r="G17" s="3" t="s">
        <v>138</v>
      </c>
      <c r="H17" s="3" t="s">
        <v>63</v>
      </c>
      <c r="I17" s="18" t="s">
        <v>139</v>
      </c>
    </row>
    <row r="18" ht="100" customHeight="1" spans="1:9">
      <c r="A18" s="3" t="s">
        <v>140</v>
      </c>
      <c r="B18" s="3" t="s">
        <v>141</v>
      </c>
      <c r="C18" s="39">
        <v>0.015</v>
      </c>
      <c r="D18" s="3" t="s">
        <v>47</v>
      </c>
      <c r="E18" s="3" t="s">
        <v>136</v>
      </c>
      <c r="F18" s="38" t="s">
        <v>142</v>
      </c>
      <c r="G18" s="3" t="s">
        <v>143</v>
      </c>
      <c r="H18" s="3" t="s">
        <v>63</v>
      </c>
      <c r="I18" s="18" t="s">
        <v>144</v>
      </c>
    </row>
    <row r="21" ht="38" customHeight="1" spans="1:9">
      <c r="A21" s="36" t="s">
        <v>145</v>
      </c>
      <c r="B21" s="36" t="s">
        <v>146</v>
      </c>
      <c r="C21" s="36" t="s">
        <v>147</v>
      </c>
      <c r="D21" s="36" t="s">
        <v>148</v>
      </c>
      <c r="E21" s="36" t="s">
        <v>149</v>
      </c>
      <c r="F21" s="36" t="s">
        <v>150</v>
      </c>
      <c r="G21" s="36" t="s">
        <v>151</v>
      </c>
      <c r="H21" s="36" t="s">
        <v>152</v>
      </c>
    </row>
    <row r="22" ht="60" customHeight="1" spans="1:9">
      <c r="A22" s="18" t="s">
        <v>153</v>
      </c>
      <c r="B22" s="41"/>
      <c r="C22" s="42"/>
      <c r="D22" s="43"/>
      <c r="E22" s="43"/>
      <c r="F22" s="44" t="str">
        <f>IF(COUNT(C22:E22)&lt;3,"",C22*D22*E22)</f>
        <v/>
      </c>
      <c r="G22" s="18" t="s">
        <v>154</v>
      </c>
      <c r="H22" s="41"/>
    </row>
    <row r="23" ht="60" customHeight="1" spans="1:9">
      <c r="A23" s="18" t="s">
        <v>155</v>
      </c>
      <c r="B23" s="41"/>
      <c r="C23" s="42"/>
      <c r="D23" s="43"/>
      <c r="E23" s="43"/>
      <c r="F23" s="44" t="str">
        <f>IF(COUNT(C23:E23)&lt;3,"",C23*D23*E23)</f>
        <v/>
      </c>
      <c r="G23" s="18" t="s">
        <v>154</v>
      </c>
      <c r="H23" s="41"/>
    </row>
    <row r="24" ht="60" customHeight="1" spans="1:9">
      <c r="A24" s="18" t="s">
        <v>156</v>
      </c>
      <c r="B24" s="41"/>
      <c r="C24" s="42"/>
      <c r="D24" s="43"/>
      <c r="E24" s="43"/>
      <c r="F24" s="44" t="str">
        <f>IF(COUNT(C24:E24)&lt;3,"",C24*D24*E24)</f>
        <v/>
      </c>
      <c r="G24" s="18" t="s">
        <v>154</v>
      </c>
      <c r="H24" s="41"/>
    </row>
    <row r="25" ht="60" customHeight="1" spans="1:9">
      <c r="A25" s="18" t="s">
        <v>157</v>
      </c>
      <c r="B25" s="41"/>
      <c r="C25" s="42"/>
      <c r="D25" s="43"/>
      <c r="E25" s="43"/>
      <c r="F25" s="44" t="str">
        <f>IF(COUNT(C25:E25)&lt;3,"",C25*D25*E25)</f>
        <v/>
      </c>
      <c r="G25" s="18" t="s">
        <v>154</v>
      </c>
      <c r="H25" s="41"/>
    </row>
    <row r="26" ht="60" customHeight="1" spans="1:9">
      <c r="A26" s="18" t="s">
        <v>158</v>
      </c>
      <c r="B26" s="18"/>
      <c r="C26" s="45" t="str">
        <f>IF(COUNT(C22:C25)&lt;4,"",SUM(C22:C25))</f>
        <v/>
      </c>
      <c r="D26" s="18"/>
      <c r="E26" s="18"/>
      <c r="F26" s="44" t="str">
        <f>IF(COUNT(F22:F25)&lt;4,"",SUM(F22:F25))</f>
        <v/>
      </c>
      <c r="G26" s="18" t="s">
        <v>159</v>
      </c>
      <c r="H26" s="18"/>
    </row>
    <row r="27" ht="60" customHeight="1" spans="1:9">
      <c r="A27" s="18"/>
      <c r="B27" s="18"/>
      <c r="C27" s="45"/>
      <c r="D27" s="18"/>
      <c r="E27" s="18"/>
      <c r="F27" s="18"/>
      <c r="G27" s="18"/>
      <c r="H27" s="18"/>
    </row>
    <row r="28" ht="60" customHeight="1" spans="1:9">
      <c r="A28" s="18"/>
      <c r="B28" s="18"/>
      <c r="C28" s="45"/>
      <c r="D28" s="18"/>
      <c r="E28" s="18"/>
      <c r="F28" s="18"/>
      <c r="G28" s="18"/>
      <c r="H28" s="18"/>
    </row>
    <row r="29" ht="38" customHeight="1" spans="1:9">
      <c r="A29" s="36" t="s">
        <v>160</v>
      </c>
      <c r="B29" s="36" t="s">
        <v>161</v>
      </c>
      <c r="C29" s="46" t="s">
        <v>31</v>
      </c>
      <c r="D29" s="36" t="s">
        <v>11</v>
      </c>
      <c r="E29" s="36" t="s">
        <v>32</v>
      </c>
      <c r="F29" s="36" t="s">
        <v>162</v>
      </c>
      <c r="G29" s="36" t="s">
        <v>163</v>
      </c>
      <c r="H29" s="36" t="s">
        <v>152</v>
      </c>
    </row>
    <row r="30" ht="60" customHeight="1" spans="1:9">
      <c r="A30" s="18" t="s">
        <v>164</v>
      </c>
      <c r="B30" s="18" t="s">
        <v>165</v>
      </c>
      <c r="C30" s="42"/>
      <c r="D30" s="18" t="s">
        <v>166</v>
      </c>
      <c r="E30" s="18" t="s">
        <v>167</v>
      </c>
      <c r="F30" s="18" t="s">
        <v>168</v>
      </c>
      <c r="G30" s="18" t="str">
        <f>IF(ISNUMBER(C30),"Input supplied; evidence still required","Missing input")</f>
        <v>Missing input</v>
      </c>
      <c r="H30" s="18"/>
    </row>
    <row r="31" ht="60" customHeight="1" spans="1:9">
      <c r="A31" s="18" t="s">
        <v>169</v>
      </c>
      <c r="B31" s="18" t="s">
        <v>170</v>
      </c>
      <c r="C31" s="42"/>
      <c r="D31" s="18" t="s">
        <v>89</v>
      </c>
      <c r="E31" s="18" t="s">
        <v>171</v>
      </c>
      <c r="F31" s="18" t="s">
        <v>172</v>
      </c>
      <c r="G31" s="18" t="str">
        <f>IF(ISNUMBER(C31),"Input supplied; evidence still required","Missing input")</f>
        <v>Missing input</v>
      </c>
      <c r="H31" s="18"/>
    </row>
    <row r="32" ht="60" customHeight="1" spans="1:9">
      <c r="A32" s="18" t="s">
        <v>173</v>
      </c>
      <c r="B32" s="18" t="s">
        <v>174</v>
      </c>
      <c r="C32" s="33" t="str">
        <f>IF(AND(ISNUMBER(F26),ISNUMBER(C30)),MIN(F26,C30),"")</f>
        <v/>
      </c>
      <c r="D32" s="18" t="s">
        <v>166</v>
      </c>
      <c r="E32" s="18" t="s">
        <v>175</v>
      </c>
      <c r="F32" s="18" t="s">
        <v>176</v>
      </c>
      <c r="G32" s="18" t="str">
        <f>IF(ISNUMBER(C32),"Calculated scenario; evidence still required","Pending required inputs")</f>
        <v>Pending required inputs</v>
      </c>
      <c r="H32" s="18"/>
    </row>
    <row r="33" ht="60" customHeight="1" spans="1:8">
      <c r="A33" s="18" t="s">
        <v>177</v>
      </c>
      <c r="B33" s="18" t="s">
        <v>178</v>
      </c>
      <c r="C33" s="33" t="str">
        <f>IF(AND(ISNUMBER(C32),ISNUMBER(C31)),C32*C31,"")</f>
        <v/>
      </c>
      <c r="D33" s="18" t="s">
        <v>179</v>
      </c>
      <c r="E33" s="18" t="s">
        <v>175</v>
      </c>
      <c r="F33" s="18" t="s">
        <v>180</v>
      </c>
      <c r="G33" s="18" t="str">
        <f>IF(ISNUMBER(C33),"Calculated scenario; evidence still required","Pending required inputs")</f>
        <v>Pending required inputs</v>
      </c>
      <c r="H33" s="18"/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4"/>
  <sheetViews>
    <sheetView workbookViewId="0">
      <selection activeCell="A1" sqref="A1:G1"/>
    </sheetView>
  </sheetViews>
  <sheetFormatPr defaultColWidth="9" defaultRowHeight="14.5" outlineLevelCol="6"/>
  <cols>
    <col min="1" max="1" width="18" customWidth="1"/>
    <col min="2" max="3" width="55" customWidth="1"/>
    <col min="4" max="5" width="14" customWidth="1"/>
    <col min="6" max="6" width="18" customWidth="1"/>
    <col min="7" max="7" width="40" customWidth="1"/>
  </cols>
  <sheetData>
    <row r="1" ht="18.5" spans="1:7">
      <c r="A1" s="27" t="s">
        <v>181</v>
      </c>
    </row>
    <row r="3" spans="1:7">
      <c r="A3" s="28" t="s">
        <v>182</v>
      </c>
      <c r="B3" s="28" t="s">
        <v>183</v>
      </c>
      <c r="C3" s="28" t="s">
        <v>184</v>
      </c>
      <c r="D3" s="28" t="s">
        <v>185</v>
      </c>
      <c r="E3" s="28" t="s">
        <v>11</v>
      </c>
      <c r="F3" s="28" t="s">
        <v>186</v>
      </c>
      <c r="G3" s="28" t="s">
        <v>187</v>
      </c>
    </row>
    <row r="4" ht="68" customHeight="1" spans="1:7">
      <c r="A4" s="4" t="s">
        <v>188</v>
      </c>
      <c r="B4" s="3" t="s">
        <v>189</v>
      </c>
      <c r="C4" s="29" t="s">
        <v>190</v>
      </c>
      <c r="D4" s="30">
        <f>'1_Assumptions'!C2/((1+'1_Assumptions'!C3)^'1_Assumptions'!C4)</f>
        <v>63.8922125702973</v>
      </c>
      <c r="E4" s="3" t="s">
        <v>39</v>
      </c>
      <c r="F4" s="3" t="s">
        <v>191</v>
      </c>
      <c r="G4" s="3" t="s">
        <v>192</v>
      </c>
    </row>
    <row r="5" ht="68" customHeight="1" spans="1:7">
      <c r="A5" s="4" t="s">
        <v>193</v>
      </c>
      <c r="B5" s="3" t="s">
        <v>194</v>
      </c>
      <c r="C5" s="29" t="s">
        <v>195</v>
      </c>
      <c r="D5" s="30">
        <f>D4*'1_Assumptions'!C5</f>
        <v>460.023930506141</v>
      </c>
      <c r="E5" s="3" t="s">
        <v>196</v>
      </c>
      <c r="F5" s="3" t="s">
        <v>58</v>
      </c>
      <c r="G5" s="3" t="s">
        <v>197</v>
      </c>
    </row>
    <row r="6" ht="68" customHeight="1" spans="1:7">
      <c r="A6" s="4" t="s">
        <v>198</v>
      </c>
      <c r="B6" s="3" t="s">
        <v>199</v>
      </c>
      <c r="C6" s="13" t="s">
        <v>200</v>
      </c>
      <c r="D6" s="14">
        <f>D5/100</f>
        <v>4.60023930506141</v>
      </c>
      <c r="E6" s="3" t="s">
        <v>201</v>
      </c>
      <c r="F6" s="3" t="s">
        <v>202</v>
      </c>
      <c r="G6" s="3" t="s">
        <v>203</v>
      </c>
    </row>
    <row r="7" ht="68" customHeight="1" spans="1:7">
      <c r="A7" s="4" t="s">
        <v>204</v>
      </c>
      <c r="B7" s="3" t="s">
        <v>205</v>
      </c>
      <c r="C7" s="29" t="s">
        <v>206</v>
      </c>
      <c r="D7" s="30">
        <f>D5*'1_Assumptions'!C6*'1_Assumptions'!C7*'1_Assumptions'!C8</f>
        <v>16.1468399607655</v>
      </c>
      <c r="E7" s="3" t="s">
        <v>196</v>
      </c>
      <c r="F7" s="3" t="s">
        <v>207</v>
      </c>
      <c r="G7" s="3" t="s">
        <v>208</v>
      </c>
    </row>
    <row r="8" ht="68" customHeight="1" spans="1:7">
      <c r="A8" s="4" t="s">
        <v>209</v>
      </c>
      <c r="B8" s="3" t="s">
        <v>210</v>
      </c>
      <c r="C8" s="13" t="s">
        <v>211</v>
      </c>
      <c r="D8" s="14">
        <f>D7/100</f>
        <v>0.161468399607655</v>
      </c>
      <c r="E8" s="3" t="s">
        <v>201</v>
      </c>
      <c r="F8" s="3" t="s">
        <v>202</v>
      </c>
      <c r="G8" s="3" t="s">
        <v>212</v>
      </c>
    </row>
    <row r="9" ht="68" customHeight="1" spans="1:7">
      <c r="A9" s="4" t="s">
        <v>213</v>
      </c>
      <c r="B9" s="3" t="s">
        <v>214</v>
      </c>
      <c r="C9" s="29" t="s">
        <v>215</v>
      </c>
      <c r="D9" s="30">
        <f>D7*'1_Assumptions'!C9</f>
        <v>0.322936799215311</v>
      </c>
      <c r="E9" s="3" t="s">
        <v>196</v>
      </c>
      <c r="F9" s="3" t="s">
        <v>81</v>
      </c>
      <c r="G9" s="3" t="s">
        <v>216</v>
      </c>
    </row>
    <row r="10" ht="68" customHeight="1" spans="1:7">
      <c r="A10" s="4" t="s">
        <v>217</v>
      </c>
      <c r="B10" s="3" t="s">
        <v>218</v>
      </c>
      <c r="C10" s="31" t="s">
        <v>219</v>
      </c>
      <c r="D10" s="32">
        <f>D9*1000000</f>
        <v>322936.799215311</v>
      </c>
      <c r="E10" s="3" t="s">
        <v>220</v>
      </c>
      <c r="F10" s="3" t="s">
        <v>202</v>
      </c>
      <c r="G10" s="3" t="s">
        <v>221</v>
      </c>
    </row>
    <row r="11" ht="68" customHeight="1" spans="1:7">
      <c r="A11" s="4" t="s">
        <v>222</v>
      </c>
      <c r="B11" s="3" t="s">
        <v>223</v>
      </c>
      <c r="C11" s="11" t="s">
        <v>224</v>
      </c>
      <c r="D11" s="12">
        <f>D10/'1_Assumptions'!C10</f>
        <v>809.365411567195</v>
      </c>
      <c r="E11" s="3" t="s">
        <v>225</v>
      </c>
      <c r="F11" s="3" t="s">
        <v>87</v>
      </c>
      <c r="G11" s="3" t="s">
        <v>226</v>
      </c>
    </row>
    <row r="13" spans="1:7">
      <c r="A13" s="2" t="s">
        <v>227</v>
      </c>
    </row>
    <row r="14" ht="60" customHeight="1" spans="1:7">
      <c r="A14" s="17" t="s">
        <v>228</v>
      </c>
    </row>
    <row r="16" spans="1:7">
      <c r="A16" s="2" t="s">
        <v>229</v>
      </c>
    </row>
    <row r="17" ht="48" customHeight="1" spans="1:7">
      <c r="A17" s="3" t="s">
        <v>230</v>
      </c>
    </row>
    <row r="19" ht="65" customHeight="1" spans="1:7">
      <c r="A19" s="18" t="s">
        <v>145</v>
      </c>
      <c r="B19" s="18" t="s">
        <v>231</v>
      </c>
      <c r="C19" s="18"/>
      <c r="D19" s="18"/>
      <c r="E19" s="18"/>
      <c r="F19" s="18"/>
      <c r="G19" s="18"/>
    </row>
    <row r="20" ht="65" customHeight="1" spans="1:7">
      <c r="A20" s="18" t="s">
        <v>232</v>
      </c>
      <c r="B20" s="18" t="s">
        <v>233</v>
      </c>
      <c r="C20" s="19" t="s">
        <v>234</v>
      </c>
      <c r="D20" s="33" t="str">
        <f>IF(ISNUMBER('1_Assumptions'!F26),'1_Assumptions'!F26,"Pending inputs")</f>
        <v>Pending inputs</v>
      </c>
      <c r="E20" s="18" t="s">
        <v>166</v>
      </c>
      <c r="F20" s="18"/>
      <c r="G20" s="18" t="s">
        <v>235</v>
      </c>
    </row>
    <row r="21" ht="65" customHeight="1" spans="1:7">
      <c r="A21" s="18" t="s">
        <v>236</v>
      </c>
      <c r="B21" s="18" t="s">
        <v>237</v>
      </c>
      <c r="C21" s="19" t="s">
        <v>238</v>
      </c>
      <c r="D21" s="33" t="str">
        <f>IF(ISNUMBER('1_Assumptions'!C32),'1_Assumptions'!C32,"Pending inputs")</f>
        <v>Pending inputs</v>
      </c>
      <c r="E21" s="18" t="s">
        <v>166</v>
      </c>
      <c r="F21" s="18"/>
      <c r="G21" s="18" t="s">
        <v>239</v>
      </c>
    </row>
    <row r="22" ht="65" customHeight="1" spans="1:7">
      <c r="A22" s="18" t="s">
        <v>240</v>
      </c>
      <c r="B22" s="18" t="s">
        <v>241</v>
      </c>
      <c r="C22" s="19" t="s">
        <v>242</v>
      </c>
      <c r="D22" s="33" t="str">
        <f>IF(ISNUMBER('1_Assumptions'!C33),'1_Assumptions'!C33,"Pending inputs")</f>
        <v>Pending inputs</v>
      </c>
      <c r="E22" s="18" t="s">
        <v>220</v>
      </c>
      <c r="F22" s="18"/>
      <c r="G22" s="18" t="s">
        <v>243</v>
      </c>
    </row>
    <row r="23" ht="65" customHeight="1" spans="1:7">
      <c r="A23" s="18" t="s">
        <v>244</v>
      </c>
      <c r="B23" s="18" t="s">
        <v>245</v>
      </c>
      <c r="C23" s="19" t="s">
        <v>246</v>
      </c>
      <c r="D23" s="34" t="str">
        <f>IF(AND(ISNUMBER(D22),D7&gt;0),D22/(D7*1000000),"Pending inputs")</f>
        <v>Pending inputs</v>
      </c>
      <c r="E23" s="18" t="s">
        <v>247</v>
      </c>
      <c r="F23" s="18"/>
      <c r="G23" s="18" t="s">
        <v>248</v>
      </c>
    </row>
    <row r="24" ht="65" customHeight="1" spans="1:7">
      <c r="A24" s="18" t="s">
        <v>249</v>
      </c>
      <c r="B24" s="18" t="s">
        <v>250</v>
      </c>
      <c r="C24" s="18"/>
      <c r="D24" s="18"/>
      <c r="E24" s="18"/>
      <c r="F24" s="18"/>
      <c r="G24" s="18"/>
    </row>
  </sheetData>
  <mergeCells count="4">
    <mergeCell ref="A1:G1"/>
    <mergeCell ref="A14:G14"/>
    <mergeCell ref="A17:G17"/>
    <mergeCell ref="B24:G24"/>
  </mergeCells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2"/>
  <sheetViews>
    <sheetView workbookViewId="0">
      <selection activeCell="A1" sqref="A1"/>
    </sheetView>
  </sheetViews>
  <sheetFormatPr defaultColWidth="9" defaultRowHeight="14.5" outlineLevelCol="5"/>
  <cols>
    <col min="1" max="1" width="16" customWidth="1"/>
    <col min="2" max="2" width="14" customWidth="1"/>
    <col min="3" max="3" width="18" customWidth="1"/>
    <col min="4" max="4" width="16" customWidth="1"/>
    <col min="5" max="5" width="22" customWidth="1"/>
    <col min="6" max="6" width="45" customWidth="1"/>
  </cols>
  <sheetData>
    <row r="1" ht="17" spans="1:6">
      <c r="A1" s="1" t="s">
        <v>251</v>
      </c>
    </row>
    <row r="3" spans="1:6">
      <c r="A3" s="7" t="s">
        <v>252</v>
      </c>
      <c r="B3" s="7" t="s">
        <v>253</v>
      </c>
      <c r="C3" s="7" t="s">
        <v>254</v>
      </c>
      <c r="D3" s="7" t="s">
        <v>255</v>
      </c>
      <c r="E3" s="7" t="s">
        <v>256</v>
      </c>
      <c r="F3" s="7" t="s">
        <v>257</v>
      </c>
    </row>
    <row r="4" spans="1:6">
      <c r="A4" s="3" t="s">
        <v>258</v>
      </c>
      <c r="B4" s="22">
        <v>0.01</v>
      </c>
      <c r="C4" s="23">
        <f>'2_TAM_SAM_SOM_Chain'!D7*B4</f>
        <v>0.161468399607655</v>
      </c>
      <c r="D4" s="24">
        <f>C4*1000000</f>
        <v>161468.399607655</v>
      </c>
      <c r="E4" s="25">
        <f>D4/'1_Assumptions'!C10</f>
        <v>404.682705783598</v>
      </c>
      <c r="F4" s="3" t="s">
        <v>259</v>
      </c>
    </row>
    <row r="5" spans="1:6">
      <c r="A5" s="3" t="s">
        <v>260</v>
      </c>
      <c r="B5" s="26">
        <f>'1_Assumptions'!C9</f>
        <v>0.02</v>
      </c>
      <c r="C5" s="23">
        <f>'2_TAM_SAM_SOM_Chain'!D7*B5</f>
        <v>0.322936799215311</v>
      </c>
      <c r="D5" s="24">
        <f>C5*1000000</f>
        <v>322936.799215311</v>
      </c>
      <c r="E5" s="25">
        <f>D5/'1_Assumptions'!C10</f>
        <v>809.365411567195</v>
      </c>
      <c r="F5" s="3" t="s">
        <v>261</v>
      </c>
    </row>
    <row r="6" spans="1:6">
      <c r="A6" s="3" t="s">
        <v>262</v>
      </c>
      <c r="B6" s="22">
        <v>0.03</v>
      </c>
      <c r="C6" s="23">
        <f>'2_TAM_SAM_SOM_Chain'!D7*B6</f>
        <v>0.484405198822966</v>
      </c>
      <c r="D6" s="24">
        <f>C6*1000000</f>
        <v>484405.198822966</v>
      </c>
      <c r="E6" s="25">
        <f>D6/'1_Assumptions'!C10</f>
        <v>1214.04811735079</v>
      </c>
      <c r="F6" s="3" t="s">
        <v>263</v>
      </c>
    </row>
    <row r="8" spans="1:6">
      <c r="A8" s="2" t="s">
        <v>264</v>
      </c>
    </row>
    <row r="9" spans="1:6">
      <c r="A9" s="3" t="s">
        <v>265</v>
      </c>
      <c r="B9" s="22">
        <v>0.08</v>
      </c>
      <c r="C9" s="3" t="s">
        <v>266</v>
      </c>
      <c r="D9" s="23">
        <f>'2_TAM_SAM_SOM_Chain'!D5*'1_Assumptions'!C6*'1_Assumptions'!C7*B9</f>
        <v>10.7645599738437</v>
      </c>
      <c r="E9" s="3" t="s">
        <v>267</v>
      </c>
      <c r="F9" s="23">
        <f>D9*'1_Assumptions'!C9</f>
        <v>0.215291199476874</v>
      </c>
    </row>
    <row r="11" spans="1:6">
      <c r="A11" t="s">
        <v>268</v>
      </c>
    </row>
    <row r="12" ht="60" customHeight="1" spans="1:6">
      <c r="A12" s="3" t="s">
        <v>269</v>
      </c>
    </row>
  </sheetData>
  <mergeCells count="1">
    <mergeCell ref="A12:F12"/>
  </mergeCells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6"/>
  <sheetViews>
    <sheetView workbookViewId="0">
      <selection activeCell="A1" sqref="A1"/>
    </sheetView>
  </sheetViews>
  <sheetFormatPr defaultColWidth="9" defaultRowHeight="14.5" outlineLevelCol="6"/>
  <cols>
    <col min="1" max="1" width="24" customWidth="1"/>
    <col min="2" max="2" width="50" customWidth="1"/>
    <col min="3" max="3" width="45" customWidth="1"/>
    <col min="4" max="5" width="14" customWidth="1"/>
    <col min="6" max="6" width="12" customWidth="1"/>
    <col min="7" max="7" width="28" customWidth="1"/>
  </cols>
  <sheetData>
    <row r="1" ht="17" spans="1:7">
      <c r="A1" s="1" t="s">
        <v>270</v>
      </c>
    </row>
    <row r="3" spans="1:7">
      <c r="A3" s="7" t="s">
        <v>271</v>
      </c>
      <c r="B3" s="7" t="s">
        <v>272</v>
      </c>
      <c r="C3" s="7" t="s">
        <v>184</v>
      </c>
      <c r="D3" s="7" t="s">
        <v>185</v>
      </c>
      <c r="E3" s="7" t="s">
        <v>11</v>
      </c>
      <c r="F3" s="7" t="s">
        <v>273</v>
      </c>
      <c r="G3" s="7" t="s">
        <v>274</v>
      </c>
    </row>
    <row r="4" ht="68" customHeight="1" spans="1:7">
      <c r="A4" s="3" t="s">
        <v>275</v>
      </c>
      <c r="B4" s="3" t="s">
        <v>276</v>
      </c>
      <c r="C4" s="11" t="s">
        <v>277</v>
      </c>
      <c r="D4" s="12">
        <f>'1_Assumptions'!C14*10000</f>
        <v>38912600</v>
      </c>
      <c r="E4" s="3" t="s">
        <v>135</v>
      </c>
      <c r="F4" s="3" t="s">
        <v>116</v>
      </c>
      <c r="G4" s="3" t="s">
        <v>278</v>
      </c>
    </row>
    <row r="5" ht="68" customHeight="1" spans="1:7">
      <c r="A5" s="3" t="s">
        <v>279</v>
      </c>
      <c r="B5" s="3" t="s">
        <v>280</v>
      </c>
      <c r="C5" s="11" t="s">
        <v>281</v>
      </c>
      <c r="D5" s="12">
        <f>D4*'1_Assumptions'!C15</f>
        <v>7782520</v>
      </c>
      <c r="E5" s="3" t="s">
        <v>135</v>
      </c>
      <c r="F5" s="3" t="s">
        <v>123</v>
      </c>
      <c r="G5" s="3" t="s">
        <v>282</v>
      </c>
    </row>
    <row r="6" ht="68" customHeight="1" spans="1:7">
      <c r="A6" s="3" t="s">
        <v>283</v>
      </c>
      <c r="B6" s="3" t="s">
        <v>284</v>
      </c>
      <c r="C6" s="11" t="s">
        <v>285</v>
      </c>
      <c r="D6" s="12">
        <f>D5*'1_Assumptions'!C16</f>
        <v>622601.6</v>
      </c>
      <c r="E6" s="3" t="s">
        <v>135</v>
      </c>
      <c r="F6" s="3" t="s">
        <v>128</v>
      </c>
      <c r="G6" s="3" t="s">
        <v>286</v>
      </c>
    </row>
    <row r="7" ht="68" customHeight="1" spans="1:7">
      <c r="A7" s="3" t="s">
        <v>287</v>
      </c>
      <c r="B7" s="3" t="s">
        <v>288</v>
      </c>
      <c r="C7" s="13" t="s">
        <v>289</v>
      </c>
      <c r="D7" s="14">
        <f>D6*'1_Assumptions'!C10/1000000</f>
        <v>248.4180384</v>
      </c>
      <c r="E7" s="3" t="s">
        <v>196</v>
      </c>
      <c r="F7" s="3" t="s">
        <v>87</v>
      </c>
      <c r="G7" s="3" t="s">
        <v>290</v>
      </c>
    </row>
    <row r="8" ht="68" customHeight="1" spans="1:7">
      <c r="A8" s="3" t="s">
        <v>291</v>
      </c>
      <c r="B8" s="3" t="s">
        <v>292</v>
      </c>
      <c r="C8" s="11" t="s">
        <v>293</v>
      </c>
      <c r="D8" s="12">
        <f>'1_Assumptions'!C17</f>
        <v>80000</v>
      </c>
      <c r="E8" s="3" t="s">
        <v>135</v>
      </c>
      <c r="F8" s="3" t="s">
        <v>133</v>
      </c>
      <c r="G8" s="3" t="s">
        <v>294</v>
      </c>
    </row>
    <row r="9" ht="68" customHeight="1" spans="1:7">
      <c r="A9" s="3" t="s">
        <v>295</v>
      </c>
      <c r="B9" s="3" t="s">
        <v>296</v>
      </c>
      <c r="C9" s="11" t="s">
        <v>297</v>
      </c>
      <c r="D9" s="12">
        <f>D8*'1_Assumptions'!C15</f>
        <v>16000</v>
      </c>
      <c r="E9" s="3" t="s">
        <v>135</v>
      </c>
      <c r="F9" s="3" t="s">
        <v>298</v>
      </c>
      <c r="G9" s="3" t="s">
        <v>212</v>
      </c>
    </row>
    <row r="10" ht="68" customHeight="1" spans="1:7">
      <c r="A10" s="3" t="s">
        <v>299</v>
      </c>
      <c r="B10" s="3" t="s">
        <v>300</v>
      </c>
      <c r="C10" s="11" t="s">
        <v>301</v>
      </c>
      <c r="D10" s="12">
        <f>D9*'1_Assumptions'!C18</f>
        <v>240</v>
      </c>
      <c r="E10" s="3" t="s">
        <v>166</v>
      </c>
      <c r="F10" s="3" t="s">
        <v>140</v>
      </c>
      <c r="G10" s="3" t="s">
        <v>302</v>
      </c>
    </row>
    <row r="11" ht="68" customHeight="1" spans="1:7">
      <c r="A11" s="3" t="s">
        <v>303</v>
      </c>
      <c r="B11" s="3" t="s">
        <v>304</v>
      </c>
      <c r="C11" s="13" t="s">
        <v>305</v>
      </c>
      <c r="D11" s="14">
        <f>D10*'1_Assumptions'!C10/1000000</f>
        <v>0.09576</v>
      </c>
      <c r="E11" s="3" t="s">
        <v>196</v>
      </c>
      <c r="F11" s="3" t="s">
        <v>87</v>
      </c>
      <c r="G11" s="3" t="s">
        <v>306</v>
      </c>
    </row>
    <row r="13" spans="1:7">
      <c r="A13" s="2" t="s">
        <v>307</v>
      </c>
    </row>
    <row r="14" ht="36" customHeight="1" spans="1:7">
      <c r="A14" s="10" t="s">
        <v>308</v>
      </c>
      <c r="B14" s="15">
        <f>'2_TAM_SAM_SOM_Chain'!D9</f>
        <v>0.322936799215311</v>
      </c>
    </row>
    <row r="15" ht="36" customHeight="1" spans="1:7">
      <c r="A15" s="10" t="s">
        <v>309</v>
      </c>
      <c r="B15" s="15">
        <f>D11</f>
        <v>0.09576</v>
      </c>
    </row>
    <row r="16" ht="36" customHeight="1" spans="1:7">
      <c r="A16" s="10" t="s">
        <v>310</v>
      </c>
      <c r="B16" s="16">
        <f>IF(B14=0,"n/a",B15/B14)</f>
        <v>0.296528609414234</v>
      </c>
    </row>
    <row r="17" ht="62" customHeight="1" spans="1:7">
      <c r="A17" s="17" t="s">
        <v>311</v>
      </c>
    </row>
    <row r="19" ht="60" customHeight="1" spans="1:7">
      <c r="A19" s="18" t="s">
        <v>312</v>
      </c>
      <c r="B19" s="18" t="s">
        <v>313</v>
      </c>
      <c r="C19" s="18"/>
      <c r="D19" s="18"/>
      <c r="E19" s="18"/>
      <c r="F19" s="18"/>
      <c r="G19" s="18"/>
    </row>
    <row r="20" ht="60" customHeight="1" spans="1:7">
      <c r="A20" s="18" t="s">
        <v>314</v>
      </c>
      <c r="B20" s="18" t="s">
        <v>315</v>
      </c>
      <c r="C20" s="19" t="s">
        <v>316</v>
      </c>
      <c r="D20" s="20">
        <f>(B14-B15)*1000000</f>
        <v>227176.799215311</v>
      </c>
      <c r="E20" s="18" t="s">
        <v>220</v>
      </c>
      <c r="F20" s="18"/>
      <c r="G20" s="18" t="s">
        <v>317</v>
      </c>
    </row>
    <row r="21" ht="60" customHeight="1" spans="1:7">
      <c r="A21" s="18" t="s">
        <v>318</v>
      </c>
      <c r="B21" s="18" t="s">
        <v>319</v>
      </c>
      <c r="C21" s="19" t="s">
        <v>320</v>
      </c>
      <c r="D21" s="21">
        <f>IF(B15=0,"n/a",B14/B15)</f>
        <v>3.37235588152998</v>
      </c>
      <c r="E21" s="18" t="s">
        <v>321</v>
      </c>
      <c r="F21" s="18"/>
      <c r="G21" s="18" t="s">
        <v>322</v>
      </c>
    </row>
    <row r="22" ht="60" customHeight="1" spans="1:7">
      <c r="A22" s="18" t="s">
        <v>323</v>
      </c>
      <c r="B22" s="18" t="s">
        <v>324</v>
      </c>
      <c r="C22" s="18"/>
      <c r="D22" s="18"/>
      <c r="E22" s="18"/>
      <c r="F22" s="18"/>
      <c r="G22" s="18"/>
    </row>
    <row r="23" ht="60" customHeight="1" spans="1:7">
      <c r="A23" s="18" t="s">
        <v>325</v>
      </c>
      <c r="B23" s="18" t="s">
        <v>326</v>
      </c>
      <c r="C23" s="18"/>
      <c r="D23" s="18"/>
      <c r="E23" s="18"/>
      <c r="F23" s="18"/>
      <c r="G23" s="18"/>
    </row>
    <row r="24" ht="60" customHeight="1" spans="1:7">
      <c r="A24" s="18" t="s">
        <v>327</v>
      </c>
      <c r="B24" s="18" t="s">
        <v>328</v>
      </c>
      <c r="C24" s="18"/>
      <c r="D24" s="18"/>
      <c r="E24" s="18"/>
      <c r="F24" s="18"/>
      <c r="G24" s="18"/>
    </row>
    <row r="26" ht="45" customHeight="1" spans="1:7">
      <c r="A26" s="10" t="s">
        <v>329</v>
      </c>
      <c r="B26" s="10" t="str">
        <f>IF(OR(B14&lt;=0,B15&lt;=0),"Review zero or missing inputs",IF(OR(B14/B15&gt;10,B15/B14&gt;10),"&gt;10x gap: revisit scope, reach and capture assumptions","Below 10x; scope and assumptions still need explanation"))</f>
        <v>Below 10x; scope and assumptions still need explanation</v>
      </c>
      <c r="C26" s="10"/>
      <c r="D26" s="10"/>
      <c r="E26" s="10"/>
      <c r="F26" s="10"/>
      <c r="G26" s="10"/>
    </row>
  </sheetData>
  <mergeCells count="5">
    <mergeCell ref="A17:G17"/>
    <mergeCell ref="B22:G22"/>
    <mergeCell ref="B23:G23"/>
    <mergeCell ref="B24:G24"/>
    <mergeCell ref="B26:G26"/>
  </mergeCells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1"/>
  <sheetViews>
    <sheetView workbookViewId="0">
      <selection activeCell="A1" sqref="A1"/>
    </sheetView>
  </sheetViews>
  <sheetFormatPr defaultColWidth="9" defaultRowHeight="14.5" outlineLevelCol="5"/>
  <cols>
    <col min="1" max="1" width="4" customWidth="1"/>
    <col min="2" max="2" width="40" customWidth="1"/>
    <col min="3" max="3" width="35" customWidth="1"/>
    <col min="4" max="4" width="45" customWidth="1"/>
    <col min="5" max="5" width="28" customWidth="1"/>
    <col min="6" max="6" width="32" customWidth="1"/>
  </cols>
  <sheetData>
    <row r="1" spans="1:6">
      <c r="A1" s="7" t="s">
        <v>29</v>
      </c>
      <c r="B1" s="7" t="s">
        <v>330</v>
      </c>
      <c r="C1" s="7" t="s">
        <v>331</v>
      </c>
      <c r="D1" s="7" t="s">
        <v>34</v>
      </c>
      <c r="E1" s="7" t="s">
        <v>332</v>
      </c>
      <c r="F1" s="7" t="s">
        <v>333</v>
      </c>
    </row>
    <row r="2" ht="85" customHeight="1" spans="1:6">
      <c r="A2" s="8" t="s">
        <v>334</v>
      </c>
      <c r="B2" s="8" t="s">
        <v>335</v>
      </c>
      <c r="C2" s="8" t="s">
        <v>336</v>
      </c>
      <c r="D2" s="8" t="s">
        <v>42</v>
      </c>
      <c r="E2" s="8" t="s">
        <v>337</v>
      </c>
      <c r="F2" s="9" t="s">
        <v>338</v>
      </c>
    </row>
    <row r="3" ht="85" customHeight="1" spans="1:6">
      <c r="A3" s="8" t="s">
        <v>339</v>
      </c>
      <c r="B3" s="8" t="s">
        <v>340</v>
      </c>
      <c r="C3" s="8" t="s">
        <v>341</v>
      </c>
      <c r="D3" s="8" t="s">
        <v>100</v>
      </c>
      <c r="E3" s="8" t="s">
        <v>342</v>
      </c>
      <c r="F3" s="9" t="s">
        <v>343</v>
      </c>
    </row>
    <row r="4" ht="85" customHeight="1" spans="1:6">
      <c r="A4" s="8" t="s">
        <v>344</v>
      </c>
      <c r="B4" s="8" t="s">
        <v>345</v>
      </c>
      <c r="C4" s="8" t="s">
        <v>346</v>
      </c>
      <c r="D4" s="8" t="s">
        <v>107</v>
      </c>
      <c r="E4" s="8" t="s">
        <v>347</v>
      </c>
      <c r="F4" s="9" t="s">
        <v>348</v>
      </c>
    </row>
    <row r="5" ht="85" customHeight="1" spans="1:6">
      <c r="A5" s="8" t="s">
        <v>349</v>
      </c>
      <c r="B5" s="8" t="s">
        <v>350</v>
      </c>
      <c r="C5" s="8" t="s">
        <v>351</v>
      </c>
      <c r="D5" s="8" t="s">
        <v>113</v>
      </c>
      <c r="E5" s="8" t="s">
        <v>342</v>
      </c>
      <c r="F5" s="9" t="s">
        <v>352</v>
      </c>
    </row>
    <row r="6" ht="85" customHeight="1" spans="1:6">
      <c r="A6" s="8" t="s">
        <v>353</v>
      </c>
      <c r="B6" s="8" t="s">
        <v>354</v>
      </c>
      <c r="C6" s="8" t="s">
        <v>355</v>
      </c>
      <c r="D6" s="8" t="s">
        <v>121</v>
      </c>
      <c r="E6" s="8" t="s">
        <v>356</v>
      </c>
      <c r="F6" s="9" t="s">
        <v>357</v>
      </c>
    </row>
    <row r="7" ht="85" customHeight="1" spans="1:6">
      <c r="A7" s="8" t="s">
        <v>358</v>
      </c>
      <c r="B7" s="8" t="s">
        <v>359</v>
      </c>
      <c r="C7" s="8" t="s">
        <v>360</v>
      </c>
      <c r="D7" s="8" t="s">
        <v>361</v>
      </c>
      <c r="E7" s="8" t="s">
        <v>362</v>
      </c>
      <c r="F7" s="9" t="s">
        <v>363</v>
      </c>
    </row>
    <row r="8" ht="85" customHeight="1" spans="1:6">
      <c r="A8" s="8" t="s">
        <v>364</v>
      </c>
      <c r="B8" s="8" t="s">
        <v>365</v>
      </c>
      <c r="C8" s="8" t="s">
        <v>366</v>
      </c>
      <c r="D8" s="8" t="s">
        <v>367</v>
      </c>
      <c r="E8" s="8" t="s">
        <v>368</v>
      </c>
      <c r="F8" s="9" t="s">
        <v>369</v>
      </c>
    </row>
    <row r="9" ht="85" customHeight="1" spans="1:6">
      <c r="A9" s="8" t="s">
        <v>370</v>
      </c>
      <c r="B9" s="8" t="s">
        <v>371</v>
      </c>
      <c r="C9" s="8" t="s">
        <v>372</v>
      </c>
      <c r="D9" s="8" t="s">
        <v>92</v>
      </c>
      <c r="E9" s="8" t="s">
        <v>373</v>
      </c>
      <c r="F9" s="9" t="s">
        <v>374</v>
      </c>
    </row>
    <row r="10" ht="85" customHeight="1" spans="1:6">
      <c r="A10" s="8" t="s">
        <v>375</v>
      </c>
      <c r="B10" s="8" t="s">
        <v>376</v>
      </c>
      <c r="C10" s="8" t="s">
        <v>377</v>
      </c>
      <c r="D10" s="8" t="s">
        <v>378</v>
      </c>
      <c r="E10" s="8" t="s">
        <v>379</v>
      </c>
      <c r="F10" s="9" t="s">
        <v>380</v>
      </c>
    </row>
    <row r="11" ht="85" customHeight="1" spans="1:6">
      <c r="A11" s="10" t="s">
        <v>381</v>
      </c>
      <c r="B11" s="10" t="s">
        <v>382</v>
      </c>
      <c r="C11" s="10" t="s">
        <v>383</v>
      </c>
      <c r="D11" s="10" t="s">
        <v>384</v>
      </c>
      <c r="E11" s="10" t="s">
        <v>385</v>
      </c>
      <c r="F11" s="10" t="s">
        <v>386</v>
      </c>
    </row>
  </sheetData>
  <pageMargins left="0.7" right="0.7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4"/>
  <sheetViews>
    <sheetView workbookViewId="0">
      <selection activeCell="A1" sqref="A1"/>
    </sheetView>
  </sheetViews>
  <sheetFormatPr defaultColWidth="9" defaultRowHeight="14.5" outlineLevelCol="1"/>
  <cols>
    <col min="1" max="1" width="28" customWidth="1"/>
    <col min="2" max="2" width="90" customWidth="1"/>
  </cols>
  <sheetData>
    <row r="1" ht="17" spans="1:2">
      <c r="A1" s="1" t="s">
        <v>387</v>
      </c>
    </row>
    <row r="3" spans="1:2">
      <c r="A3" s="2" t="s">
        <v>388</v>
      </c>
    </row>
    <row r="4" ht="80" customHeight="1" spans="1:2">
      <c r="A4" s="3" t="s">
        <v>389</v>
      </c>
    </row>
    <row r="6" spans="1:2">
      <c r="A6" t="s">
        <v>390</v>
      </c>
    </row>
    <row r="7" spans="1:2">
      <c r="A7" s="4" t="s">
        <v>391</v>
      </c>
      <c r="B7" s="5">
        <f>'2_TAM_SAM_SOM_Chain'!D5</f>
        <v>460.023930506141</v>
      </c>
    </row>
    <row r="8" spans="1:2">
      <c r="A8" s="4" t="s">
        <v>392</v>
      </c>
      <c r="B8" s="5">
        <f>'2_TAM_SAM_SOM_Chain'!D7</f>
        <v>16.1468399607655</v>
      </c>
    </row>
    <row r="9" spans="1:2">
      <c r="A9" s="4" t="s">
        <v>393</v>
      </c>
      <c r="B9" s="5">
        <f>'2_TAM_SAM_SOM_Chain'!D9</f>
        <v>0.322936799215311</v>
      </c>
    </row>
    <row r="10" spans="1:2">
      <c r="A10" s="4" t="s">
        <v>394</v>
      </c>
      <c r="B10" s="6">
        <f>'2_TAM_SAM_SOM_Chain'!D10</f>
        <v>322936.799215311</v>
      </c>
    </row>
    <row r="11" spans="1:2">
      <c r="A11" s="4" t="s">
        <v>395</v>
      </c>
      <c r="B11" s="6">
        <f>'2_TAM_SAM_SOM_Chain'!D11</f>
        <v>809.365411567195</v>
      </c>
    </row>
    <row r="13" spans="1:2">
      <c r="A13" s="2" t="s">
        <v>396</v>
      </c>
    </row>
    <row r="14" ht="90" customHeight="1" spans="1:2">
      <c r="A14" s="3" t="s">
        <v>397</v>
      </c>
    </row>
  </sheetData>
  <mergeCells count="2">
    <mergeCell ref="A4:B4"/>
    <mergeCell ref="A14:B14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0_Definitions</vt:lpstr>
      <vt:lpstr>1_Assumptions</vt:lpstr>
      <vt:lpstr>2_TAM_SAM_SOM_Chain</vt:lpstr>
      <vt:lpstr>3_SOM_Sensitivity</vt:lpstr>
      <vt:lpstr>4_BottomUp_Check</vt:lpstr>
      <vt:lpstr>5_Sources</vt:lpstr>
      <vt:lpstr>6_A1_Slide_Snippets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Mr.Meeseeks</cp:lastModifiedBy>
  <dcterms:created xsi:type="dcterms:W3CDTF">2026-09-23T09:01:08Z</dcterms:created>
  <dcterms:modified xsi:type="dcterms:W3CDTF">2026-09-23T09:01:25Z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022C7AD4ACD740C38A381B6DFE344BE1_13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